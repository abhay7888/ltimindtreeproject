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ltimindtree-my.sharepoint.com/personal/abhay_10844232_ltimindtree_com/Documents/Desktop/Outbox Files/"/>
    </mc:Choice>
  </mc:AlternateContent>
  <xr:revisionPtr revIDLastSave="29" documentId="8_{68588A6D-34D4-426B-B969-359DDC842634}" xr6:coauthVersionLast="47" xr6:coauthVersionMax="47" xr10:uidLastSave="{28150045-D1A2-4F64-A7B8-AB4A09765405}"/>
  <bookViews>
    <workbookView minimized="1" xWindow="4800" yWindow="3110" windowWidth="14400" windowHeight="8170" firstSheet="1" activeTab="1" xr2:uid="{00000000-000D-0000-FFFF-FFFF00000000}"/>
  </bookViews>
  <sheets>
    <sheet name="Windows Essentials" sheetId="2" r:id="rId1"/>
    <sheet name="Windows Planner" sheetId="9" r:id="rId2"/>
    <sheet name="Networking" sheetId="3" r:id="rId3"/>
    <sheet name="PowerShell" sheetId="4" r:id="rId4"/>
    <sheet name="Azure" sheetId="5" r:id="rId5"/>
    <sheet name="DevOps" sheetId="6" r:id="rId6"/>
    <sheet name="ITIL" sheetId="7" r:id="rId7"/>
    <sheet name="Virtualiza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4" l="1"/>
  <c r="E69" i="8"/>
  <c r="F68" i="8"/>
  <c r="G3" i="8"/>
  <c r="E79" i="7"/>
  <c r="E63" i="5"/>
  <c r="E62" i="5"/>
  <c r="E65" i="4"/>
  <c r="G64" i="4"/>
  <c r="E64" i="4"/>
  <c r="G24" i="3"/>
  <c r="H23" i="3"/>
</calcChain>
</file>

<file path=xl/sharedStrings.xml><?xml version="1.0" encoding="utf-8"?>
<sst xmlns="http://schemas.openxmlformats.org/spreadsheetml/2006/main" count="1045" uniqueCount="945">
  <si>
    <t>Day No</t>
  </si>
  <si>
    <t>Date</t>
  </si>
  <si>
    <t>Windows</t>
  </si>
  <si>
    <t>Week off</t>
  </si>
  <si>
    <t>Networks</t>
  </si>
  <si>
    <t>PowerShell</t>
  </si>
  <si>
    <t>Azure</t>
  </si>
  <si>
    <t>Milestone 2 Preparation + Mock 2 (PowerShell + Azure)</t>
  </si>
  <si>
    <t>Milestone 2, 1st Attempt (PowerShell + Azure)</t>
  </si>
  <si>
    <t>DevOps</t>
  </si>
  <si>
    <t>ITIL</t>
  </si>
  <si>
    <t>Virtualization</t>
  </si>
  <si>
    <t>Communication Training</t>
  </si>
  <si>
    <t>Final CEFR</t>
  </si>
  <si>
    <t>Batch off boarding (buffer)</t>
  </si>
  <si>
    <t>Windows Server Administration</t>
  </si>
  <si>
    <t>Server 2020</t>
  </si>
  <si>
    <t>Total Duration(Min)</t>
  </si>
  <si>
    <t>Module</t>
  </si>
  <si>
    <t xml:space="preserve">Sub Topics </t>
  </si>
  <si>
    <t>Points to be covered</t>
  </si>
  <si>
    <t>Lab Exercise</t>
  </si>
  <si>
    <t>Theory Duration</t>
  </si>
  <si>
    <t>Practical Duration</t>
  </si>
  <si>
    <t>Deploying &amp; managing server 2016</t>
  </si>
  <si>
    <t>Different Versions/Editions of Windows OS ( 2003,2008,2012,2016,2019)</t>
  </si>
  <si>
    <t>Basic Differences
Overview of 2016 &amp; 2019</t>
  </si>
  <si>
    <t>·      Windows Server 2019 Overview</t>
  </si>
  <si>
    <t xml:space="preserve"> What is new in server 2019, how to install server 2019,
Booting process troubleshooting (Blue screen of death), Tools- bcdedit, bcdboot, systeminfo, msinfo32,fsutil
Basic server configuration,IPV 4 &amp; 6 Configuration</t>
  </si>
  <si>
    <t>INSTALLATION OF SERVER 2019,Basic powershell commands,IPV6 configuration
Assignment: 
1. Explore purpose of utility like - bcdedit, bcdboot, systeminfo, msinfo32,fsutil
2. Booting system under safe mode and boot options
3. Identify the services that cannot be restarted
4. Set page file and change the location of page file
5. Explore auto recovery state and disable it</t>
  </si>
  <si>
    <t>·     Difference between  2012R2 ,2016 &amp;2019</t>
  </si>
  <si>
    <t>·      Installing Windows Server 2019</t>
  </si>
  <si>
    <t>·      Post-Installation Configuration of Windows Server 2016</t>
  </si>
  <si>
    <t>·      Overview of Windows Server 2019 Management</t>
  </si>
  <si>
    <t>·      Introduction to Windows PowerShell</t>
  </si>
  <si>
    <t>·      Overview of TCP/IP</t>
  </si>
  <si>
    <t>·      Understanding IPv4 &amp; IPv6 Addressing</t>
  </si>
  <si>
    <t xml:space="preserve">Introduction to ADDS </t>
  </si>
  <si>
    <t>·      Overview of AD DS</t>
  </si>
  <si>
    <t xml:space="preserve">What is ADDS, difference between 2016 and 2019 ADDS
Installing ADDS Role and Promoting server to Domain Controller
DC Management,User Mangement, Group Policy Management,OU Management ,
ACL Management </t>
  </si>
  <si>
    <t>Installing ADDS Role and Promoting server to Domain Controller
DC Managment ( Promotion, Demotion, Role Transfer and Role Seizing )
User Mangement ( Creation, Modification,Deletion)
Group Policy Management ( Creation, Modification,Deletion)
OU Management ( Creation, Modification,Deletion)
ACL Management ( Creation, Modification,Deletion)</t>
  </si>
  <si>
    <t>·      Overview of Domain Controllers</t>
  </si>
  <si>
    <t>·      Installing a Domain Controller</t>
  </si>
  <si>
    <t>Implementing DHCP Server</t>
  </si>
  <si>
    <t>·      Overview of the DHCP Server Role</t>
  </si>
  <si>
    <t xml:space="preserve"> Configuring DHCP Scopes
Managing DHCP Scopes, Reservations, Filters and Policies
Superscope and 80/20 Rule</t>
  </si>
  <si>
    <t>·      Configuring DHCP Scopes</t>
  </si>
  <si>
    <t>·      Managing a DHCP Database</t>
  </si>
  <si>
    <t>·      Securing and Monitoring DHCP</t>
  </si>
  <si>
    <t>Implementing File Services</t>
  </si>
  <si>
    <t xml:space="preserve">• Creating and Configuring a File Share
• Configuring Shadow Copies
</t>
  </si>
  <si>
    <t>·      Overview of FSRM</t>
  </si>
  <si>
    <t>·      Using FSRM to Manage Quotas, File Screens, and Storage Reports</t>
  </si>
  <si>
    <t>·      Implementing Classification and File Management Tasks</t>
  </si>
  <si>
    <t>·      Overview of DFS and DFS Replication</t>
  </si>
  <si>
    <t>Task Scheduler</t>
  </si>
  <si>
    <t>Task Managament</t>
  </si>
  <si>
    <t xml:space="preserve">Creating a scheduled Job
Edit scheduled Job
Delete the Scehduled JOb
</t>
  </si>
  <si>
    <t>Server 2019-Part 2</t>
  </si>
  <si>
    <t>Main Topics</t>
  </si>
  <si>
    <t>Windows Deployment Services (Only Overview)</t>
  </si>
  <si>
    <t>What is WDS, How to Deploy OS image using WDS,What is Capture Image,What is Boot Image</t>
  </si>
  <si>
    <t>Configuring WDS server</t>
  </si>
  <si>
    <t>Installing WDS Server</t>
  </si>
  <si>
    <t>·      Overview of Windows Deployment Services</t>
  </si>
  <si>
    <t>·      Managing Images</t>
  </si>
  <si>
    <t>·      Implementing Deployment with Windows Deployment Services</t>
  </si>
  <si>
    <t>·      Administering Windows Deployment Services</t>
  </si>
  <si>
    <t>WSUS(Only Overview)</t>
  </si>
  <si>
    <t>Implementing Update Management</t>
  </si>
  <si>
    <t>Install and configure WSUS</t>
  </si>
  <si>
    <t>What is use of Storing in central place ?</t>
  </si>
  <si>
    <t>·      Deploying Updates with WSUS</t>
  </si>
  <si>
    <t>Windows Server 
Virtualization</t>
  </si>
  <si>
    <t>Implementing Server Virtualization with Hyper-V</t>
  </si>
  <si>
    <t xml:space="preserve">• Overview of Virtualization Technologies
• Implementing Hyper-V
• Managing Virtual Machine Storage
• Managing Virtual Networks
</t>
  </si>
  <si>
    <t>Hyper-V Installation and configuration.</t>
  </si>
  <si>
    <t>Creating VMs</t>
  </si>
  <si>
    <t>Managing VMs</t>
  </si>
  <si>
    <t>Checkpoint</t>
  </si>
  <si>
    <t>Import/Export</t>
  </si>
  <si>
    <t>RAM ,Disk Management</t>
  </si>
  <si>
    <t>Working in VM settings</t>
  </si>
  <si>
    <t>DNS</t>
  </si>
  <si>
    <t>Points to be Covered</t>
  </si>
  <si>
    <t>Name Resolution</t>
  </si>
  <si>
    <t>What is Name Resolution ?</t>
  </si>
  <si>
    <t>Explain the concept &amp; need of name resolution</t>
  </si>
  <si>
    <t>DNS Configuration</t>
  </si>
  <si>
    <t>Why we require Name Resoltion ?</t>
  </si>
  <si>
    <t>How the names are stored in tree structure?</t>
  </si>
  <si>
    <t>How Name Server Stores the data in Tree Structure ?</t>
  </si>
  <si>
    <t>What is meant by Domain &amp; Zone in the Name Server tree?</t>
  </si>
  <si>
    <t>What is Domain in Name Server Tree ?</t>
  </si>
  <si>
    <t>Mapping of IP toName</t>
  </si>
  <si>
    <t>What is Zone in Name Server Tree ?</t>
  </si>
  <si>
    <t>Explain about records</t>
  </si>
  <si>
    <t>How a IP is mapped to a Name using records ?</t>
  </si>
  <si>
    <t>Working of name server?</t>
  </si>
  <si>
    <t>How a Name Server Works - Iteractive and Recursive ?</t>
  </si>
  <si>
    <t>What is meant by iterative and recursive?</t>
  </si>
  <si>
    <t xml:space="preserve">Name Server of Windows </t>
  </si>
  <si>
    <t>Windows DNS</t>
  </si>
  <si>
    <t>What is Windows DNS?</t>
  </si>
  <si>
    <t>Installation &amp; Configuration of DNS role 
in windows server 2019 and Using of Nslookup to verify resolving of DNS,Query of other records(MX,SRV etc) .</t>
  </si>
  <si>
    <t xml:space="preserve">Pre requisite of DNS </t>
  </si>
  <si>
    <t>What are the pre requisites for DNS</t>
  </si>
  <si>
    <t>How to install a DNS in Windows Server 2019 ?</t>
  </si>
  <si>
    <t>How to install a DNS in Windows Server 2019?</t>
  </si>
  <si>
    <t>Server Services for Name Resolution</t>
  </si>
  <si>
    <t>What are the services in Server Side for DNS and location of DNS files</t>
  </si>
  <si>
    <t>Client Services for Name Resolution</t>
  </si>
  <si>
    <t>What are the services in Client Side for DNS</t>
  </si>
  <si>
    <t>DNS Zones</t>
  </si>
  <si>
    <t>What is a Zone ?</t>
  </si>
  <si>
    <t>Explain the concept and need of zone</t>
  </si>
  <si>
    <t>Creation, deletion
&amp; modification of zone</t>
  </si>
  <si>
    <t>Type of Zone ?</t>
  </si>
  <si>
    <t>what are the different types of zone?</t>
  </si>
  <si>
    <t>What is Forward Zone ? - When it is Used</t>
  </si>
  <si>
    <t>What is Reverse Zone ? - When it is Used</t>
  </si>
  <si>
    <t>Zone management</t>
  </si>
  <si>
    <t>Creation of Forward zone</t>
  </si>
  <si>
    <t>How to create forward zone?</t>
  </si>
  <si>
    <t>Creation of Reverse  zone</t>
  </si>
  <si>
    <t>How to create Reverse zone?</t>
  </si>
  <si>
    <t>Deletion,modification of zone</t>
  </si>
  <si>
    <t>How to delete/modify a zone?</t>
  </si>
  <si>
    <t>DNS Record Management</t>
  </si>
  <si>
    <t>How the IP and Name are Mapped to each other ?</t>
  </si>
  <si>
    <t>Mapping of IP to name</t>
  </si>
  <si>
    <t>Mapping of IP to name(Verify using nslookup)
Creation of different DNS records</t>
  </si>
  <si>
    <t>What is DNS Record ?</t>
  </si>
  <si>
    <t>What is DNS Records?</t>
  </si>
  <si>
    <t>What are the types of Record we have ?</t>
  </si>
  <si>
    <t>Different types of records ?</t>
  </si>
  <si>
    <t>When to use each Record ?</t>
  </si>
  <si>
    <t>What is the use of each records?</t>
  </si>
  <si>
    <t>How to create each type of Record ?</t>
  </si>
  <si>
    <t>Creation of each records</t>
  </si>
  <si>
    <t>Conditional forwarders</t>
  </si>
  <si>
    <t>What will happen the DNS does have the record for the give name ?</t>
  </si>
  <si>
    <t>How DNS resolves the name if record exists?</t>
  </si>
  <si>
    <t>How to configure forwarders?
How to manage forwarders?</t>
  </si>
  <si>
    <t>How a DNS Server get help from other DNS Server ?</t>
  </si>
  <si>
    <t>Explain the concept of forwarders?</t>
  </si>
  <si>
    <t>What is a conditional forwarder</t>
  </si>
  <si>
    <t>Why they are used?</t>
  </si>
  <si>
    <t>Explanation of Conditional forwarder</t>
  </si>
  <si>
    <t>What is meant by conditional forwarders</t>
  </si>
  <si>
    <t>Managing conditional forwarder</t>
  </si>
  <si>
    <t>How to manage conditional forwarders</t>
  </si>
  <si>
    <t>Log Management</t>
  </si>
  <si>
    <t>Can we track the wokring of DNS Server ?</t>
  </si>
  <si>
    <t>How to track the working of DNS Server</t>
  </si>
  <si>
    <t>Checking the DNS Logs</t>
  </si>
  <si>
    <t>What is Global Log ?</t>
  </si>
  <si>
    <t>What is Global Log</t>
  </si>
  <si>
    <t>How can differentiate from Error and Information Log</t>
  </si>
  <si>
    <t>What are the Logs available for DNS?</t>
  </si>
  <si>
    <t>How read a Log ?</t>
  </si>
  <si>
    <t>How we can understand the logs of DNS?</t>
  </si>
  <si>
    <t>Types of Log ?</t>
  </si>
  <si>
    <t>How to differentiate from Error and Information Log</t>
  </si>
  <si>
    <t xml:space="preserve">Back up and Restore </t>
  </si>
  <si>
    <t>What are the types of DNS crashes we can have ?</t>
  </si>
  <si>
    <t>What crashes can be occurred in DNS?</t>
  </si>
  <si>
    <t>Taking Backup of DNS
Restoring DNS Backup</t>
  </si>
  <si>
    <t>Can we take a Back up of DNS Application alone ?</t>
  </si>
  <si>
    <t>How to take the backup of DNS application?</t>
  </si>
  <si>
    <t>What are the types of Back up we can have for DNS ?</t>
  </si>
  <si>
    <t>What are the different types of backup for DNS?</t>
  </si>
  <si>
    <t>How to restore the DNS Application ?</t>
  </si>
  <si>
    <t>How to restore the DNS backup?</t>
  </si>
  <si>
    <t>Active Directory</t>
  </si>
  <si>
    <t>Protocols</t>
  </si>
  <si>
    <t>Protocols in AD</t>
  </si>
  <si>
    <t>What is LDAP? 
Directory Structure of LDAP
How LDAP authentication happens?
What is Schema?
What is Domain?
What is FQDN?
What is users and Groups?</t>
  </si>
  <si>
    <t>Installation</t>
  </si>
  <si>
    <t>Overview of Active Directory, Identity, and Access                        </t>
  </si>
  <si>
    <t>What is AD?
Usage of AD?
How to install AD?
Explain Lab exercise</t>
  </si>
  <si>
    <t xml:space="preserve">Installation of AD </t>
  </si>
  <si>
    <t>Installation types 
    • using command prompt 
    • using server wizard (UI) 
    • using answer file
installing from media</t>
  </si>
  <si>
    <t>Explain all types of installation
Why we go for each type of installation?
Explain Lab exercise</t>
  </si>
  <si>
    <t>Different types of installation demo</t>
  </si>
  <si>
    <t>AD console</t>
  </si>
  <si>
    <t>Explain each AD console
Explain Lab exercise</t>
  </si>
  <si>
    <t>Show the Consoles</t>
  </si>
  <si>
    <t xml:space="preserve">Active Directory Concepts </t>
  </si>
  <si>
    <t>Tree</t>
  </si>
  <si>
    <t>Explain what is tree in AD</t>
  </si>
  <si>
    <t>Domain Controller(DC)
Additional Domain Controller(ADC)
Child Domain controller(CDC)</t>
  </si>
  <si>
    <t>Explain what is DC, ADC &amp; CDC in AD
Purpose of ADC &amp; CDC
Why we go for ADC &amp; CD?</t>
  </si>
  <si>
    <t>Can we have a domain with read-only access?</t>
  </si>
  <si>
    <t>Concept of RODC?</t>
  </si>
  <si>
    <t>Explain what is RODC</t>
  </si>
  <si>
    <t>Installation of RODC</t>
  </si>
  <si>
    <t>Use of RODC</t>
  </si>
  <si>
    <t>Features of RODC</t>
  </si>
  <si>
    <t>Why we go for RODC?</t>
  </si>
  <si>
    <t>Computer
User
Group
OU</t>
  </si>
  <si>
    <t>Explain each component use in AD</t>
  </si>
  <si>
    <t>Forest</t>
  </si>
  <si>
    <t>Explain what is Forest in AD</t>
  </si>
  <si>
    <t>Configure Domain and Forest Functional Levels</t>
  </si>
  <si>
    <t>Designing DNS Namespaces in an AD DS Environment</t>
  </si>
  <si>
    <t>Overview of DNS
Explain Designing DNS Namespaces in an AD DS</t>
  </si>
  <si>
    <t>What is authentication ?</t>
  </si>
  <si>
    <t xml:space="preserve">Authentication overview
Types of authentication
Windows AD authentication
Authentication protocols
Authentication Mechanisms
</t>
  </si>
  <si>
    <t>Authentication overview</t>
  </si>
  <si>
    <t>Authentication mechanism in AD ,
 Troubleshooting</t>
  </si>
  <si>
    <t>How a Client computer is added to server?</t>
  </si>
  <si>
    <t>Checking client computer compatability
Adding the Client to the domain</t>
  </si>
  <si>
    <t>Explain why an computer is added to domain
Benefits of a computer added in domain</t>
  </si>
  <si>
    <t>Create Computers and Join/Unjoin the Domain,
compactable clients , changes in AD after adding to domain.</t>
  </si>
  <si>
    <t>Group policy applied to user accounts, 
Computer accounts in AD,
Managing computer accounts and objects in AD</t>
  </si>
  <si>
    <t xml:space="preserve">Create computer accounts
adding linux </t>
  </si>
  <si>
    <t>ADAC</t>
  </si>
  <si>
    <t>Administer Computer Objects and Accounts</t>
  </si>
  <si>
    <t>Join a computer to the Domain with the Windows Interface</t>
  </si>
  <si>
    <t xml:space="preserve">Troubleshooting </t>
  </si>
  <si>
    <t>Secure Computer Joins</t>
  </si>
  <si>
    <t xml:space="preserve"> Manage Computer Account Creation</t>
  </si>
  <si>
    <t>How a User will login to Domain?</t>
  </si>
  <si>
    <t>AD Authentication - 1</t>
  </si>
  <si>
    <t>Create an user in AD</t>
  </si>
  <si>
    <t>How to create an user in AD</t>
  </si>
  <si>
    <t>Create User Accounts 
 changes in client after adding to domain
types of possible errors</t>
  </si>
  <si>
    <t xml:space="preserve"> Administer User Accounts</t>
  </si>
  <si>
    <t xml:space="preserve">Modifying user accounts </t>
  </si>
  <si>
    <t>Administer User Accounts</t>
  </si>
  <si>
    <t>Configure User Object Attributes</t>
  </si>
  <si>
    <t xml:space="preserve"> User attributes and properties ,default users </t>
  </si>
  <si>
    <t>Examine User Object Attributes</t>
  </si>
  <si>
    <t>Automate User Account Creation</t>
  </si>
  <si>
    <t xml:space="preserve">Creating multiple users </t>
  </si>
  <si>
    <t>Manage User Object Attributes
Export and Import Users with CSVDE
Import Users with LDIFDE</t>
  </si>
  <si>
    <t>Create and Configure Managed Service Accounts</t>
  </si>
  <si>
    <t>What is service accounts?
How to create and manage service accounts?
Why service account is used?</t>
  </si>
  <si>
    <t>Logging of users in domain through Client computer</t>
  </si>
  <si>
    <t>How a user is logged into the domain?
How user is authenticated?</t>
  </si>
  <si>
    <t>How an user is authenticated in the domain?
-Concepts of Kerberos
-Global catalogue</t>
  </si>
  <si>
    <t>What is Kerberos?
How Kerberos authentication happens?
What is Global Catalogue?
Use of Global catalogue</t>
  </si>
  <si>
    <t>How will I group my Users?</t>
  </si>
  <si>
    <t>Creating a group</t>
  </si>
  <si>
    <t xml:space="preserve">Types of groups in AD , </t>
  </si>
  <si>
    <t>Create each group</t>
  </si>
  <si>
    <t>Adding users to the group</t>
  </si>
  <si>
    <t>Add users to group</t>
  </si>
  <si>
    <t>Administrative group</t>
  </si>
  <si>
    <t xml:space="preserve">How to add user to group </t>
  </si>
  <si>
    <t>Giving permission to Group</t>
  </si>
  <si>
    <t>Delegating control of the group</t>
  </si>
  <si>
    <t>Group scopes 
delegaton of user in Group</t>
  </si>
  <si>
    <t>Types of group and its purpose
- Universal groups 
- Domain local group 
- Global group</t>
  </si>
  <si>
    <t>Explain each type of group
Use and scope of each group</t>
  </si>
  <si>
    <t>Is there any High level group?</t>
  </si>
  <si>
    <t>Creation of OU</t>
  </si>
  <si>
    <t>What is an OU?
Why we go for OU?
What are the types of OU and explanation of each?
How to create an OU?
How to add user and computer to OU?
How to add users from different groups to an OU</t>
  </si>
  <si>
    <t>Creating OU 
Adding members to OU</t>
  </si>
  <si>
    <t>Adding users and computers to OU</t>
  </si>
  <si>
    <t>OU , Types of OU</t>
  </si>
  <si>
    <t>Adding user to OU</t>
  </si>
  <si>
    <t>Adding user of different group to an OU</t>
  </si>
  <si>
    <t>Delegating OU Control</t>
  </si>
  <si>
    <t>How will be AD structure?</t>
  </si>
  <si>
    <t xml:space="preserve">AD schema overview </t>
  </si>
  <si>
    <t xml:space="preserve">AD schema , schema location,use of schema , 
how to edit schema ,
schema cache,
adding/modifying schema, security
extending schema </t>
  </si>
  <si>
    <t>Importance of Attributes</t>
  </si>
  <si>
    <t>Viewing Existing Schema</t>
  </si>
  <si>
    <t>Manipulating  attributes of User Objects, Computer Objects etc.,</t>
  </si>
  <si>
    <t xml:space="preserve">Editing schema </t>
  </si>
  <si>
    <t>Extending Existing Schema ,
Troubleshooting</t>
  </si>
  <si>
    <t>Adding an Atrribute for an Existing Class.</t>
  </si>
  <si>
    <t>AD Authentication - 2</t>
  </si>
  <si>
    <t>How a user and computer will be added to multiple domains?
In a group how to add users of different domains?
How a user of one domain will login to another domain?</t>
  </si>
  <si>
    <t>How is DNS helpful in login.</t>
  </si>
  <si>
    <t>Concept of trust</t>
  </si>
  <si>
    <t>Explain the concept of trust in AD?
Why we use trust?
How and when to go for it?</t>
  </si>
  <si>
    <t>Types of trust
-Transitive
-Non Transitive
-One way trust
-Two way trust</t>
  </si>
  <si>
    <t>Explain each type of trust
When to go for each type of trust?</t>
  </si>
  <si>
    <t>Configure Trust</t>
  </si>
  <si>
    <t>How to establish trust?</t>
  </si>
  <si>
    <t>How to create trust ?</t>
  </si>
  <si>
    <t>Design and Manage Multiple Domains and Trust Relationships</t>
  </si>
  <si>
    <t>AD roles</t>
  </si>
  <si>
    <t>FSMO roles  
• PDC emulator
 • RID Master
    • Schema master
    • Domain Naming Master
    •  Infrastructure</t>
  </si>
  <si>
    <t>Explain the FSMO role in detail
Use of each role</t>
  </si>
  <si>
    <t>FSMO functions:
- How to transfer roles
-How to seize roles</t>
  </si>
  <si>
    <t>Explain how to transfer the roles from a domain to another
How to seize roles from other domain</t>
  </si>
  <si>
    <t>AD- Group policy</t>
  </si>
  <si>
    <t>How to control my users and computers?</t>
  </si>
  <si>
    <t>Group policy overview , 
Group policy cmdlets in powershell , 
Editing / modifying group policy , 
planning and deploying group policy , 
Group policy API,
GPMC , What is GPO , uses and configuring GPO ,
 importing group policy to other domains , 
Manage user/desktop with GP</t>
  </si>
  <si>
    <t>What is Group Policy, Uses of Group policy</t>
  </si>
  <si>
    <t>Create, Edit, and Link GPOs</t>
  </si>
  <si>
    <t>Implement GPOs</t>
  </si>
  <si>
    <t>Use Filtering and Commenting</t>
  </si>
  <si>
    <t>Manage Group Policy Scope</t>
  </si>
  <si>
    <t>Configure GPO Scope with Links</t>
  </si>
  <si>
    <t>Group Policy Processing , GPMC</t>
  </si>
  <si>
    <t>Configure GPO Scope with Filtering</t>
  </si>
  <si>
    <t>Editing group policy , Updating GP in cmd prompt</t>
  </si>
  <si>
    <t>Editing group policy using GPMC</t>
  </si>
  <si>
    <t>Editing group policy using GPMC ,
Manage Group Membership by Using Group Policy Settings</t>
  </si>
  <si>
    <t>User/desktop management using group policy</t>
  </si>
  <si>
    <t>Group Policy API</t>
  </si>
  <si>
    <t>Troubleshoot Group Policy Application</t>
  </si>
  <si>
    <t>AD Sites and Replication</t>
  </si>
  <si>
    <t>Can my users have a domain in their site?</t>
  </si>
  <si>
    <t>What is Site</t>
  </si>
  <si>
    <t>Uses of sites and replication , configuring sites &amp; subnets , configuring replication</t>
  </si>
  <si>
    <t>Designing AD DS Sites</t>
  </si>
  <si>
    <t>Designing and Implementing AD DS Sites</t>
  </si>
  <si>
    <t>Designing AD DS Replication</t>
  </si>
  <si>
    <t>Designing and Implementing AD DS Replication.</t>
  </si>
  <si>
    <t>Configure Sites and Subnets</t>
  </si>
  <si>
    <t>What is a Site , Subnet , Replication , Types of replication models ,How does replication happens(GC,ISTG,KCC,BridgeHead) and ports and protocols responsible.</t>
  </si>
  <si>
    <t>Configure the Default Site.</t>
  </si>
  <si>
    <t>Configure Replication</t>
  </si>
  <si>
    <t>Create Additional Sites.</t>
  </si>
  <si>
    <t>Move Domain Controllers into Sites.</t>
  </si>
  <si>
    <t xml:space="preserve">Designing AD DS Domain Administration  </t>
  </si>
  <si>
    <t>How will I administor Domain controller?</t>
  </si>
  <si>
    <t xml:space="preserve"> Planning the Delegation of AD DS Administration</t>
  </si>
  <si>
    <t>What is OU , Designing OU , 
Creating &amp; Implementing OU , 
Managing User accounts, 
Computer accounts , 
Security principles , 
Managing different domain using AD administration centre</t>
  </si>
  <si>
    <t>Creating and Implementing an OU Design</t>
  </si>
  <si>
    <t xml:space="preserve"> Designing the Structure of OUs</t>
  </si>
  <si>
    <t>Creating and Implementing an AD DS Group Design</t>
  </si>
  <si>
    <t>Designing an AD DS Group Strategy</t>
  </si>
  <si>
    <t>Automating User and Group Management</t>
  </si>
  <si>
    <t>Managing different domain , customizing AD administration centre ,
Troubleshooting</t>
  </si>
  <si>
    <t>Duration In Minutes</t>
  </si>
  <si>
    <t>Duration In Hours</t>
  </si>
  <si>
    <t>NETWORKING</t>
  </si>
  <si>
    <t>S.NO</t>
  </si>
  <si>
    <t>PRIMARY TOPICS</t>
  </si>
  <si>
    <t>SUB TOPICS</t>
  </si>
  <si>
    <t>POINTS TO BE COVERED</t>
  </si>
  <si>
    <t>LAB EXERCISES</t>
  </si>
  <si>
    <t>Day-1</t>
  </si>
  <si>
    <t>Fundamentals Review</t>
  </si>
  <si>
    <t xml:space="preserve">OSI Layers </t>
  </si>
  <si>
    <t>1.OSI 7 Layers and its Funtionalities
2.OSI Layers and TCP Suite</t>
  </si>
  <si>
    <t>Network Addressing Scheme</t>
  </si>
  <si>
    <t>Binary, Decimal, Hexadecimal Conversion
IPv4 Supernetting &amp; Subnetting</t>
  </si>
  <si>
    <t>Exercise for decimal to binary conversion, binary to decimal conversion and hexadecimal</t>
  </si>
  <si>
    <t>Day-2</t>
  </si>
  <si>
    <t>Switching</t>
  </si>
  <si>
    <t xml:space="preserve">Basics of Switching </t>
  </si>
  <si>
    <t>1. Switching concept and operation of switch
2. MAC/CAM Table</t>
  </si>
  <si>
    <t>Basic Configuration(CLI)</t>
  </si>
  <si>
    <t xml:space="preserve">1. Introduction to CLI
2. Types of modes(exec/configuration)
3. Login Banner
4. Configuring Interface Description
4. Configuring Password(Enable Password &amp; Secret)
5. Configuring Telnet Access and Password
6. Configuring Console Access and Password </t>
  </si>
  <si>
    <t>Cisco Router and Switch CLI</t>
  </si>
  <si>
    <t>VLAN</t>
  </si>
  <si>
    <t xml:space="preserve">1. Necessity of Virtual LAN
2. Types of VLAN
3. VLAN ID
4. VLAN Membership, ISL &amp; 802.1q
5. Inter VLAN Routing 
       -Router on a Stick
       -Switched Virtual Interface                                                                                                                                                                                                                          </t>
  </si>
  <si>
    <t>VTP</t>
  </si>
  <si>
    <t>1. Necessity of VTP
2. VTP Modes &amp; its functionalities
          -Server
          -Client
          -Transperent
3. Significance of configuration revision number</t>
  </si>
  <si>
    <t>Build a topology that demonstrates VTP</t>
  </si>
  <si>
    <t>STP</t>
  </si>
  <si>
    <t>Build a Redundant Switched topology and demonstrate the STP Process</t>
  </si>
  <si>
    <t>Securing a switch</t>
  </si>
  <si>
    <t>Backup and restore(Switch)</t>
  </si>
  <si>
    <t xml:space="preserve">1. Backup &amp; restore of running-config, startup-config
2. Backup &amp; Upgrade of IOS
3. Recover a switch with No IOS(x/y modem)
3. Restoring password                                                                                                                                                                                            </t>
  </si>
  <si>
    <t>Day-4</t>
  </si>
  <si>
    <t>Router</t>
  </si>
  <si>
    <t>Starting with Router</t>
  </si>
  <si>
    <t>1. The Internal Components of a Cisco Router
2. The Router Boot Sequence
3. Managing Configuration Register
4.Types of Router interfaces
5.Using CDP Neighbours
6.Usage of Telnet</t>
  </si>
  <si>
    <t>Demo of cisco router.</t>
  </si>
  <si>
    <t xml:space="preserve">1. Basic configuration
2. Router CLI  modes
3. Configure Password(Secret,Telnet, Console)
4. Configure hostname &amp; login banner                                                                                                        5. Encrypt password        </t>
  </si>
  <si>
    <t>IP Routing</t>
  </si>
  <si>
    <t>Basics of Routing and its Types
               -Static Routing
               -Dynamic Routing
                        -DVR
                        -LSR
                        -ADVR (or) Hybrid</t>
  </si>
  <si>
    <t xml:space="preserve">1. Routing Table
2. Gateway
3. Path Determination      </t>
  </si>
  <si>
    <t>Configure IP address, Serial interface, clock rate, check routing table, explain the need to routing protocol</t>
  </si>
  <si>
    <t>Routing Terminologies</t>
  </si>
  <si>
    <t>1. Administrative Distance
2. Metric
3. Hop
4. Bandwidth &amp; Delay
5. Load &amp; Relaiability</t>
  </si>
  <si>
    <t>Static Routing Protocol &amp; Default Routing</t>
  </si>
  <si>
    <t>1.Configuring Static Routing Protocol
2.AD of Static Routing Protocol
3.Difference between Configuring Static route with Exit interface and Next hop IP Address
4.Configure Default routing
5. Significance of Stub Network with Default Routing</t>
  </si>
  <si>
    <t>Configure Static and Default Routing and demonstrate the reachability</t>
  </si>
  <si>
    <t>Dynamic Routing Protocol - RIP (DVR)</t>
  </si>
  <si>
    <t>Configure RIPv1 &amp; v2, configure manual summarization, verifiaction commands.</t>
  </si>
  <si>
    <t>Day-5</t>
  </si>
  <si>
    <t>Dynamic Routing Protocol - EIGRP (ADVR or Hybrid)</t>
  </si>
  <si>
    <t>1. Configuring EIGRP Routing protocol and Advertising networks
2. EIGRP metrics, path selection, AD , Autonomous System
3. DUAL Algorithm                                                    
4. Autosummarization
5. Equal &amp; unequal cost load balancing
6. Authentication   
7.Troubleshooting EIGRP Related Issues</t>
  </si>
  <si>
    <t>Configure EIGRP, load balancing and authentication</t>
  </si>
  <si>
    <t xml:space="preserve">
Dynamic Routing Protocol-OSPF (LSR)
</t>
  </si>
  <si>
    <t>Configuring OSPF, Troubleshooting OSPF, Authentication(plain-text and MD5), DR and BDR election, Troubleshooting OSPF Neighbor Adjacencies, Troubleshooting Authentication</t>
  </si>
  <si>
    <t>Day-6</t>
  </si>
  <si>
    <t>Security</t>
  </si>
  <si>
    <t>Access Control Lists</t>
  </si>
  <si>
    <t xml:space="preserve">1. Standard ACL
2. Extended ACL
3. Named ACL                                                        </t>
  </si>
  <si>
    <t>Configure standard ACL for block/permit ping and telnet, Configure Extended ACL for block/ping icmp, http, telnet and configure named ACL</t>
  </si>
  <si>
    <t>IPv6</t>
  </si>
  <si>
    <t>Introduction to IPv6</t>
  </si>
  <si>
    <t xml:space="preserve"> Configure IPv6</t>
  </si>
  <si>
    <t>30 Min</t>
  </si>
  <si>
    <t>Milestone Assessment-MCQ and Practical</t>
  </si>
  <si>
    <t>POWERSHELL</t>
  </si>
  <si>
    <t>THEORY DURATION(Module-wise in min)</t>
  </si>
  <si>
    <t>THEORY DURATION(approx in mins)</t>
  </si>
  <si>
    <t>PRACTICAL DURATION(approx in mins)</t>
  </si>
  <si>
    <t>PowerShell Introduction</t>
  </si>
  <si>
    <t>What is Powershell ?</t>
  </si>
  <si>
    <t xml:space="preserve"> Compare with Shell in linux
 Evolution of Powershell</t>
  </si>
  <si>
    <t>Why Powershell ?</t>
  </si>
  <si>
    <t xml:space="preserve"> Advantages and Uses</t>
  </si>
  <si>
    <t>Versions</t>
  </si>
  <si>
    <t xml:space="preserve"> Powershell Versions
 Differences between the versions and additional features</t>
  </si>
  <si>
    <t>How to use Powershell Interactively ?</t>
  </si>
  <si>
    <t xml:space="preserve"> Features explanation in short
 Difference when compared with Command Prompt</t>
  </si>
  <si>
    <t>Powershell Help</t>
  </si>
  <si>
    <t xml:space="preserve"> Update-Help
 How to use help and all its properties</t>
  </si>
  <si>
    <t>DataStructures</t>
  </si>
  <si>
    <t>Variables</t>
  </si>
  <si>
    <t xml:space="preserve"> How to store command outputs
 Notations Used</t>
  </si>
  <si>
    <t>Arrays</t>
  </si>
  <si>
    <t xml:space="preserve"> How command Results are stored
 How to read an array and How to manipulate it</t>
  </si>
  <si>
    <t>Hashtables</t>
  </si>
  <si>
    <t xml:space="preserve"> Creating, Updating and Reading Hashtable</t>
  </si>
  <si>
    <t>Defining Datatypes</t>
  </si>
  <si>
    <t xml:space="preserve"> How to use strongly typed datatype</t>
  </si>
  <si>
    <t>Objects</t>
  </si>
  <si>
    <t>Creating Objects</t>
  </si>
  <si>
    <t xml:space="preserve"> What does an Object Mean ?
 New-object</t>
  </si>
  <si>
    <t>Using Properties</t>
  </si>
  <si>
    <t xml:space="preserve"> Adding Properties
 Read-Only and Read-Write Properties
 Types of Properties</t>
  </si>
  <si>
    <t>Using Methods</t>
  </si>
  <si>
    <t xml:space="preserve"> Get_ and Set_ Methods
 Standard Methods
 Method Calls and Arguments
 Method Signatures</t>
  </si>
  <si>
    <t>Using Real Examples</t>
  </si>
  <si>
    <t xml:space="preserve"> Use some applications of objects and explain</t>
  </si>
  <si>
    <t>Conditional</t>
  </si>
  <si>
    <t>Conditional Operators</t>
  </si>
  <si>
    <t xml:space="preserve"> Overview on conditional operators used
 Logical Operators and Use</t>
  </si>
  <si>
    <t>Where-object</t>
  </si>
  <si>
    <t xml:space="preserve"> Use of where-object with example</t>
  </si>
  <si>
    <t>If-ElseIf-Else</t>
  </si>
  <si>
    <t xml:space="preserve"> How to use in Powershell</t>
  </si>
  <si>
    <t>Switch</t>
  </si>
  <si>
    <t xml:space="preserve"> Syntax in powershell</t>
  </si>
  <si>
    <t>Loops</t>
  </si>
  <si>
    <t>ForEach-Object</t>
  </si>
  <si>
    <t xml:space="preserve"> Looping with all conditions</t>
  </si>
  <si>
    <t>Foreach</t>
  </si>
  <si>
    <t>Do and While</t>
  </si>
  <si>
    <t xml:space="preserve"> Continuation and Abort Conditions</t>
  </si>
  <si>
    <t>For</t>
  </si>
  <si>
    <t xml:space="preserve"> Nested Loops</t>
  </si>
  <si>
    <t>switch</t>
  </si>
  <si>
    <t xml:space="preserve"> How to use switch for looping</t>
  </si>
  <si>
    <t>continue statements</t>
  </si>
  <si>
    <t xml:space="preserve"> Use of the continue statement
 Labels</t>
  </si>
  <si>
    <t>Functions and Pipelines</t>
  </si>
  <si>
    <t>Creation and Calling</t>
  </si>
  <si>
    <t xml:space="preserve"> How to create a function
 How to call a function
 Defining parameters</t>
  </si>
  <si>
    <t>Using Pipelines</t>
  </si>
  <si>
    <t xml:space="preserve"> Explain some of the usage of pipelines with examples</t>
  </si>
  <si>
    <t>Script Execution</t>
  </si>
  <si>
    <t>Creating and Launching</t>
  </si>
  <si>
    <t xml:space="preserve"> How to create a script file
 Launching the Script</t>
  </si>
  <si>
    <t>Executing Policy</t>
  </si>
  <si>
    <t xml:space="preserve"> Settings for execution policy</t>
  </si>
  <si>
    <t>Arguments handling</t>
  </si>
  <si>
    <t xml:space="preserve"> Scopes - Variables
 Profile Scripts</t>
  </si>
  <si>
    <t>ConsoleFiles</t>
  </si>
  <si>
    <t xml:space="preserve"> Use of console files</t>
  </si>
  <si>
    <t>Digital Signatures</t>
  </si>
  <si>
    <t xml:space="preserve"> How to sign a script</t>
  </si>
  <si>
    <t>Error Handling</t>
  </si>
  <si>
    <t>Suppressing Errors</t>
  </si>
  <si>
    <t xml:space="preserve"> How to suppress the error from not being thrown</t>
  </si>
  <si>
    <t>Try / Catch</t>
  </si>
  <si>
    <t xml:space="preserve">  How to use try / Catch statements</t>
  </si>
  <si>
    <t>Using traps</t>
  </si>
  <si>
    <t xml:space="preserve"> Use of trap statements</t>
  </si>
  <si>
    <t>Exceptions</t>
  </si>
  <si>
    <t xml:space="preserve"> Understand Exceptions
 Handle Exceptions
 Throwing our own Exceptions</t>
  </si>
  <si>
    <t>Stepping and Tracing</t>
  </si>
  <si>
    <t xml:space="preserve"> How to do debug with step and trace</t>
  </si>
  <si>
    <t>Input / Output</t>
  </si>
  <si>
    <t>Command Line Arguments</t>
  </si>
  <si>
    <t xml:space="preserve"> Using Command line arguments in Powershell ( param )</t>
  </si>
  <si>
    <t>Console Read / Write</t>
  </si>
  <si>
    <t>File Read / Write</t>
  </si>
  <si>
    <t>Text Processing and Regular Expressions</t>
  </si>
  <si>
    <t>String Formatting</t>
  </si>
  <si>
    <t xml:space="preserve"> Defining the String
 How do we format strings in powershell</t>
  </si>
  <si>
    <t>String Operators</t>
  </si>
  <si>
    <t xml:space="preserve"> Operators used to process the String</t>
  </si>
  <si>
    <t>String Object Methods</t>
  </si>
  <si>
    <t xml:space="preserve"> Methods availabled which can be used on String Objects</t>
  </si>
  <si>
    <t>Regular Expression Pattern and Matching</t>
  </si>
  <si>
    <t xml:space="preserve"> Defining the patterns
 How to match the patterns</t>
  </si>
  <si>
    <t>Regular Expression activities</t>
  </si>
  <si>
    <t xml:space="preserve"> Keywords
 Segmenting
 Replace
 Symbols to be known</t>
  </si>
  <si>
    <t>Configuration using XML</t>
  </si>
  <si>
    <t>XML Parsing</t>
  </si>
  <si>
    <t xml:space="preserve"> How to read the nodes and Data structure used
 Using it as config file</t>
  </si>
  <si>
    <t>Windows Registry</t>
  </si>
  <si>
    <t>Creating Keys</t>
  </si>
  <si>
    <t xml:space="preserve"> Available Providers
 Creating Drives and then keys</t>
  </si>
  <si>
    <t>Reading Keys</t>
  </si>
  <si>
    <t xml:space="preserve"> Reading a key
 Reading multiple keys</t>
  </si>
  <si>
    <t>Processes, Services and Event Log Management</t>
  </si>
  <si>
    <t>Process Management</t>
  </si>
  <si>
    <t xml:space="preserve"> Reading the process list
 Getting Process Info
 Calling Process Methods ( Kill )</t>
  </si>
  <si>
    <t>Service Management</t>
  </si>
  <si>
    <t xml:space="preserve"> Reading the service list
 Service Methods ( Start, Stop, Pause, Resume )</t>
  </si>
  <si>
    <t>Event Log Management</t>
  </si>
  <si>
    <t xml:space="preserve"> Reading the logs
 Writing the log entries</t>
  </si>
  <si>
    <t>WMI Management</t>
  </si>
  <si>
    <t>Using WMI Objects</t>
  </si>
  <si>
    <t xml:space="preserve"> Exploring the Classes
 Reading the Properties
 Filters</t>
  </si>
  <si>
    <t>Using WMI Methods and properties</t>
  </si>
  <si>
    <t xml:space="preserve"> Changing the properties
 Calling the methods</t>
  </si>
  <si>
    <t>Remote Execution</t>
  </si>
  <si>
    <t>Using Remote Execution</t>
  </si>
  <si>
    <t xml:space="preserve"> How to execute commands remotely?
 Methods for remote execution</t>
  </si>
  <si>
    <t>Using Invoke</t>
  </si>
  <si>
    <t xml:space="preserve"> Invoke-Session
 Invoke-Command
 Passing credential &amp; credssp</t>
  </si>
  <si>
    <t>Remote WMI</t>
  </si>
  <si>
    <t xml:space="preserve"> Connecting to Remote system WMI Provider
 Passing credentials for authentication</t>
  </si>
  <si>
    <t>Workflow</t>
  </si>
  <si>
    <t>Using Workflow</t>
  </si>
  <si>
    <t>What is Work flow and its uses?</t>
  </si>
  <si>
    <t>Workflow Concepts</t>
  </si>
  <si>
    <t xml:space="preserve"> Working with workflows with examples</t>
  </si>
  <si>
    <t xml:space="preserve"> Inline script with examples
 Inline to Inline calling and passing/getting inputs/outputs</t>
  </si>
  <si>
    <t xml:space="preserve"> Sequence and Parallel Execution
 Real time examples</t>
  </si>
  <si>
    <t>Desired State Configuration (DSC)</t>
  </si>
  <si>
    <t>What is DSC?</t>
  </si>
  <si>
    <t>Introduction to DSC</t>
  </si>
  <si>
    <t>Why DSC?</t>
  </si>
  <si>
    <t xml:space="preserve"> Use of DSC
 DSC Features</t>
  </si>
  <si>
    <t>Concepts</t>
  </si>
  <si>
    <t xml:space="preserve"> Overview of the DSC Concepts
 Working of DSC with basic examples</t>
  </si>
  <si>
    <t xml:space="preserve"> Duration in Mins</t>
  </si>
  <si>
    <t>Total Duration in Mins</t>
  </si>
  <si>
    <t>Total Duration in Hrs</t>
  </si>
  <si>
    <t>Day</t>
  </si>
  <si>
    <t>Topics</t>
  </si>
  <si>
    <t>THEORY DURATION (in Min)</t>
  </si>
  <si>
    <t>PRACTICAL DURATION(Mins)</t>
  </si>
  <si>
    <t>Total Duration( Min)</t>
  </si>
  <si>
    <t>Introduction to Cloud Computing</t>
  </si>
  <si>
    <t>Life before cloud computing</t>
  </si>
  <si>
    <t>Walk through the Azure Portal</t>
  </si>
  <si>
    <t>Traditional IT Infrastructure</t>
  </si>
  <si>
    <t>Manage Azure subscriptions</t>
  </si>
  <si>
    <t>Cloud computing and its key advantages.</t>
  </si>
  <si>
    <t>the. Logging in to Azure portal</t>
  </si>
  <si>
    <t>Difference between cloud based and on premise data centres.</t>
  </si>
  <si>
    <t xml:space="preserve">Walkth through all the services in the Azure portal </t>
  </si>
  <si>
    <t xml:space="preserve"> Cloud Advantages, Cloud Providers</t>
  </si>
  <si>
    <t> Azure CLI, PowerShell</t>
  </si>
  <si>
    <t>Azure architectural components</t>
  </si>
  <si>
    <t xml:space="preserve">IaaS, PaaS, SaaS explanation </t>
  </si>
  <si>
    <t>Private, Public and Hybrid explanation with used cases</t>
  </si>
  <si>
    <t>High level concepts of each Cloud services</t>
  </si>
  <si>
    <t>Azure Overview</t>
  </si>
  <si>
    <t>Azure regions, Availability zones, ARM</t>
  </si>
  <si>
    <t xml:space="preserve">the Azure portal, </t>
  </si>
  <si>
    <t>Core Azure services</t>
  </si>
  <si>
    <t>Azure Compute Services like Azure VM, App Service, Azure Container Instances &amp; Azure Kubernetes Service, Azure Functions, Azure Virtual Desktop</t>
  </si>
  <si>
    <t>Creating  some Azure Services</t>
  </si>
  <si>
    <t>Identity and Governance</t>
  </si>
  <si>
    <t>Introduction to cloud based Identity model</t>
  </si>
  <si>
    <t>Creating and Managing users and groups</t>
  </si>
  <si>
    <t>Difference between cloud users and synced users</t>
  </si>
  <si>
    <t>Implement and manage Azure subscriptions and accounts</t>
  </si>
  <si>
    <t>Describe Azure AD.</t>
  </si>
  <si>
    <t>Overview of Azure AD P1 abd P2 Licence features</t>
  </si>
  <si>
    <t>Compare Azure AD to Active Directory Domain Services (AD DS).</t>
  </si>
  <si>
    <t>Describe how Azure AD is used as a directory for cloud apps.</t>
  </si>
  <si>
    <t>Describe Azure AD Premium P1 and P2.</t>
  </si>
  <si>
    <t>Describe Azure AD Domain Services.</t>
  </si>
  <si>
    <t>Azure Policy</t>
  </si>
  <si>
    <t>Role-based Access Control (RBAC)</t>
  </si>
  <si>
    <t>Azure Administration</t>
  </si>
  <si>
    <t>ARM</t>
  </si>
  <si>
    <t>Creating and Managing using Azure Resource Manager</t>
  </si>
  <si>
    <t>Azure powershell and CLI</t>
  </si>
  <si>
    <t>How to use Azure powershell and CLI with few basic commands</t>
  </si>
  <si>
    <t>Azure VM's</t>
  </si>
  <si>
    <t>Virtual Machine Planning</t>
  </si>
  <si>
    <t>Lab : Creating and Manage virtual machines</t>
  </si>
  <si>
    <t>Creating Virtual Machines</t>
  </si>
  <si>
    <t>Adding Virtual disks</t>
  </si>
  <si>
    <t>Virtual Machine Availability</t>
  </si>
  <si>
    <t>Virtual Machine Extensions</t>
  </si>
  <si>
    <t>Data Protection</t>
  </si>
  <si>
    <t>Azure  Backup Service</t>
  </si>
  <si>
    <t>Manage VM backups</t>
  </si>
  <si>
    <t>Configure VM backup</t>
  </si>
  <si>
    <t>Define backup policies</t>
  </si>
  <si>
    <t>Implement backup policies</t>
  </si>
  <si>
    <t>Perform VM restore</t>
  </si>
  <si>
    <t>File and Folder backup</t>
  </si>
  <si>
    <t>Networking and Security</t>
  </si>
  <si>
    <t>Virtual Networks and IP addressing</t>
  </si>
  <si>
    <t>Creating Vnet and Subnets</t>
  </si>
  <si>
    <t xml:space="preserve">Network Security Centre </t>
  </si>
  <si>
    <t>Check the connectivity between two Vnets</t>
  </si>
  <si>
    <t>Azure Firewall and Key vault</t>
  </si>
  <si>
    <t>Creating NSG</t>
  </si>
  <si>
    <t>Azure security center</t>
  </si>
  <si>
    <t>NSG and its priorities</t>
  </si>
  <si>
    <t>Azure DNS</t>
  </si>
  <si>
    <t>Intersite Connectivity</t>
  </si>
  <si>
    <t>Vnet Peering</t>
  </si>
  <si>
    <t>Estalishing Connectivity Between two Vnets using Vnet Peering</t>
  </si>
  <si>
    <t>Network Traffic Management</t>
  </si>
  <si>
    <t>VPN</t>
  </si>
  <si>
    <t>Routing and endpoints</t>
  </si>
  <si>
    <t>Load balancer and Application Gateway</t>
  </si>
  <si>
    <t>Creating, Managing Load balancer</t>
  </si>
  <si>
    <t>Azure Storage</t>
  </si>
  <si>
    <t>Azure Storage Account</t>
  </si>
  <si>
    <t>creating storage account</t>
  </si>
  <si>
    <t>Types of Storage accounts</t>
  </si>
  <si>
    <t>Creating blob storage and mange storage in the blob</t>
  </si>
  <si>
    <t>Overview Azure Storage Services</t>
  </si>
  <si>
    <t>Creating fileshare storage and mange storage in the fileshare</t>
  </si>
  <si>
    <t>Blob storage</t>
  </si>
  <si>
    <t>Configuring Azure filesync service</t>
  </si>
  <si>
    <t>Azure files and file sync</t>
  </si>
  <si>
    <t>Managing storage lifecycle</t>
  </si>
  <si>
    <t>Managing storage and storage secuirty</t>
  </si>
  <si>
    <t>Overview of Storage explorer</t>
  </si>
  <si>
    <t>Serverless Computing</t>
  </si>
  <si>
    <t>Azure App Service Plans</t>
  </si>
  <si>
    <t>Creating and Managing App Service</t>
  </si>
  <si>
    <t>Azure App Service</t>
  </si>
  <si>
    <t>Container Services</t>
  </si>
  <si>
    <t>Azure Kubernetes Service</t>
  </si>
  <si>
    <t>Monitoring</t>
  </si>
  <si>
    <t>Azure Monitor</t>
  </si>
  <si>
    <t>Use Azure Monitor</t>
  </si>
  <si>
    <t>Azure Alerts</t>
  </si>
  <si>
    <t>Create Azure alerts.</t>
  </si>
  <si>
    <t>Log Analytics</t>
  </si>
  <si>
    <t>Query using Log Analytics.</t>
  </si>
  <si>
    <t>Network Watcher</t>
  </si>
  <si>
    <t>Use Network Watcher.</t>
  </si>
  <si>
    <t>Sl.No</t>
  </si>
  <si>
    <t>Introduction DevOps</t>
  </si>
  <si>
    <t>SDLC models, Lean, ITIL, Agile</t>
  </si>
  <si>
    <t>Overview of  DevOps</t>
  </si>
  <si>
    <t>Understand the principles and benefits of DevOps and the limitations of traditional approaches.</t>
  </si>
  <si>
    <t>DevOps Goals</t>
  </si>
  <si>
    <t>Important terminology</t>
  </si>
  <si>
    <t>DevOps perspective</t>
  </si>
  <si>
    <t>DevOps and Agile</t>
  </si>
  <si>
    <t>DevOps Tools</t>
  </si>
  <si>
    <t>Configuration management</t>
  </si>
  <si>
    <t>Continuous Integration and Deployment</t>
  </si>
  <si>
    <t>Azure regions, Availability zones, ARM briefing</t>
  </si>
  <si>
    <t>Version Control</t>
  </si>
  <si>
    <t>Introduction</t>
  </si>
  <si>
    <t>Creating repository</t>
  </si>
  <si>
    <t>What is Git</t>
  </si>
  <si>
    <t>Cloning, check-in and committing</t>
  </si>
  <si>
    <t>About Version Control System and Types</t>
  </si>
  <si>
    <t>Fetch pull and remote</t>
  </si>
  <si>
    <t>Difference between CVCS and DVCS</t>
  </si>
  <si>
    <t>Branching</t>
  </si>
  <si>
    <t>GIT Basics</t>
  </si>
  <si>
    <t>Creating the Branches, switching the branches, merging the branches.</t>
  </si>
  <si>
    <t>GIT Command Line</t>
  </si>
  <si>
    <t>Ansible</t>
  </si>
  <si>
    <t>Overview of Ansible</t>
  </si>
  <si>
    <t>Deploy Ansible and Configure Ansible to manage hosts and run ad hoc Ansible commands.</t>
  </si>
  <si>
    <t>Why Ansible</t>
  </si>
  <si>
    <t>Basic Ansible Teminologies</t>
  </si>
  <si>
    <t>Write a simple Ansible playbook and run it to automate tasks on multiple managed hosts.</t>
  </si>
  <si>
    <t>Introduction to Playbooks</t>
  </si>
  <si>
    <t>Playbook Structure</t>
  </si>
  <si>
    <t>Introduction to Modules</t>
  </si>
  <si>
    <t>Variables and Facts</t>
  </si>
  <si>
    <t>Ansible Configuration Hierarchy</t>
  </si>
  <si>
    <t>Ansible in the Cloud</t>
  </si>
  <si>
    <t>Continuous Integration (Jenkins)</t>
  </si>
  <si>
    <t>Introduction.</t>
  </si>
  <si>
    <t>Understanding continuous integration</t>
  </si>
  <si>
    <t>Introduction about Jenkins</t>
  </si>
  <si>
    <t>Build Cycle</t>
  </si>
  <si>
    <t>Jenkins Architecture</t>
  </si>
  <si>
    <t>Docker– Containers</t>
  </si>
  <si>
    <t>What is a Docker</t>
  </si>
  <si>
    <t>Use case of Docker</t>
  </si>
  <si>
    <t>Platforms for Docker</t>
  </si>
  <si>
    <t>Dockers vs. Virtualization</t>
  </si>
  <si>
    <t>Architecture</t>
  </si>
  <si>
    <t>Docker Architecture.</t>
  </si>
  <si>
    <t>Understanding the Docker components</t>
  </si>
  <si>
    <t>Overview of Containers</t>
  </si>
  <si>
    <t>Azure Devops</t>
  </si>
  <si>
    <t>Azure Boards</t>
  </si>
  <si>
    <t>Azure Repos</t>
  </si>
  <si>
    <t>Azure Pipelines</t>
  </si>
  <si>
    <t>Azure Test Plan</t>
  </si>
  <si>
    <t>Azure Artifacts</t>
  </si>
  <si>
    <t xml:space="preserve">Day </t>
  </si>
  <si>
    <t>Capability Description</t>
  </si>
  <si>
    <t>Leads Observations to understand if Campus Associate has achieved desired capability</t>
  </si>
  <si>
    <t xml:space="preserve">Whiteboarding to explain understanding </t>
  </si>
  <si>
    <t>Day 1</t>
  </si>
  <si>
    <t>Service &amp; Product</t>
  </si>
  <si>
    <t xml:space="preserve"> Difference in characteristics between services and products.        What is a Service?
What is a Product?
Difference Between Services and Products
IT Service Lifecycle</t>
  </si>
  <si>
    <t xml:space="preserve">Group discussion &amp; Whiteboarding: Whiteboarding: What key concepts and terms did you learn? Explain your learning by sharing examples from your real life.  </t>
  </si>
  <si>
    <r>
      <rPr>
        <b/>
        <u/>
        <sz val="9"/>
        <color rgb="FF00B050"/>
        <rFont val="Aptos Narrow"/>
        <family val="2"/>
        <scheme val="minor"/>
      </rPr>
      <t>Scenario:</t>
    </r>
    <r>
      <rPr>
        <sz val="9"/>
        <color theme="1"/>
        <rFont val="Aptos Narrow"/>
        <family val="2"/>
        <scheme val="minor"/>
      </rPr>
      <t xml:space="preserve">
You got your first salary, you are very excited. This is your own money! You can now buy that mobile phone you always wanted! When you buy the mobile phone, did you buy a product or did you buy a service? 
You are very excited today. You are looking forward to a very exciting meeting later in the day, with a very exciting person. You want to look your best. So you go to your favorite barber and get yourself a nice haircut and facial. What did you buy? A service or a product? </t>
    </r>
  </si>
  <si>
    <t xml:space="preserve">Introduction about Service &amp; Product - Welcome to Day 1 of ITIL Interactive learning Sessions. The sessions scheduled for today will drive you through the importance of Service Management, the Life cycle of ITIL and how Services, Products play a key role in as part of ITIL. </t>
  </si>
  <si>
    <t>ITIL Service Value Chain (SVC)
Plan
Improve
Engage
Design &amp; Transition
Obtain/Build
Deliver &amp; Support</t>
  </si>
  <si>
    <t>The journey today enlightens the team to understand the concepts through scenarios and connects you on how ITIL is part of your daily routine life. Lets begin the journey….</t>
  </si>
  <si>
    <t>ITIL Service Management Practices
General Management Practices
Service Management Practices
Technical Management Practices</t>
  </si>
  <si>
    <t xml:space="preserve">Understanding what a process is </t>
  </si>
  <si>
    <t>1) Describe what is a process
2) Why is a process important
3) Why is process improvement important</t>
  </si>
  <si>
    <t>Develop and share the process you used to follow to wake up, get ready and get to college to attend the first class in time?</t>
  </si>
  <si>
    <t xml:space="preserve">Introduction to ITIL </t>
  </si>
  <si>
    <t>What is ITIL?
Evolution of ITIL (ITIL v3 to ITIL v4)
Benefits of ITIL v4
Key Concepts of Service Management
Value and Value Co-Creation
Stakeholders in Service Management
Products and Services
Service Relationships
The Four Dimensions of Service Management
Overview of the SVS
Components of the SVS
Guiding Principles
Governance
Service Value Chain
Practices
Continual Improvement</t>
  </si>
  <si>
    <t xml:space="preserve">Whiteboarding: What key concepts and terms did you learn? Explain your learning by sharing examples from your real life. </t>
  </si>
  <si>
    <r>
      <rPr>
        <b/>
        <u/>
        <sz val="10"/>
        <color rgb="FF00B050"/>
        <rFont val="Aptos Narrow"/>
        <family val="2"/>
        <scheme val="minor"/>
      </rPr>
      <t>Scenario 2</t>
    </r>
    <r>
      <rPr>
        <u/>
        <sz val="9"/>
        <color theme="1"/>
        <rFont val="Aptos Narrow"/>
        <family val="2"/>
        <scheme val="minor"/>
      </rPr>
      <t>:</t>
    </r>
    <r>
      <rPr>
        <sz val="9"/>
        <color theme="1"/>
        <rFont val="Aptos Narrow"/>
        <family val="2"/>
        <scheme val="minor"/>
      </rPr>
      <t xml:space="preserve"> Raghu was successful in finding an architect who was willing to help him design his restaurent. They meet up and Raghu gives the specifications for the restaurent. The architect has prepared multiple design documents and is discussing them with Raghu. What part of ITIL Lifecycle does this activity fall? </t>
    </r>
  </si>
  <si>
    <r>
      <rPr>
        <b/>
        <u/>
        <sz val="9"/>
        <color rgb="FF00B050"/>
        <rFont val="Aptos Narrow"/>
        <family val="2"/>
        <scheme val="minor"/>
      </rPr>
      <t>Scenario 3</t>
    </r>
    <r>
      <rPr>
        <sz val="9"/>
        <color theme="1"/>
        <rFont val="Aptos Narrow"/>
        <family val="2"/>
        <scheme val="minor"/>
      </rPr>
      <t xml:space="preserve">: Raghu has hired the head chef for the restaurent. They are planning on the number of additional chefs they must hire, their skills and experience required. What phase of ITIL lifecycle does this fall? </t>
    </r>
  </si>
  <si>
    <r>
      <rPr>
        <b/>
        <u/>
        <sz val="9"/>
        <color rgb="FF00B050"/>
        <rFont val="Aptos Narrow"/>
        <family val="2"/>
        <scheme val="minor"/>
      </rPr>
      <t>Scenario 4</t>
    </r>
    <r>
      <rPr>
        <sz val="9"/>
        <color theme="1"/>
        <rFont val="Aptos Narrow"/>
        <family val="2"/>
        <scheme val="minor"/>
      </rPr>
      <t>: All the staff required to run the restaurent have joined. Since yesterday, their training has commenced. What phase of ITIL Lifecycle does this activity fall?</t>
    </r>
  </si>
  <si>
    <r>
      <rPr>
        <b/>
        <u/>
        <sz val="9"/>
        <color rgb="FF00B050"/>
        <rFont val="Aptos Narrow"/>
        <family val="2"/>
        <scheme val="minor"/>
      </rPr>
      <t>Scenario 5</t>
    </r>
    <r>
      <rPr>
        <sz val="9"/>
        <color theme="1"/>
        <rFont val="Aptos Narrow"/>
        <family val="2"/>
        <scheme val="minor"/>
      </rPr>
      <t>: Restaurent has now been running successfully for last 1 week. This afternoon, power to the restaurent went. The generator did not come on for more than 1 hour and customers complained. What phase of ITIL lifecycle does this fall?</t>
    </r>
  </si>
  <si>
    <r>
      <rPr>
        <b/>
        <u/>
        <sz val="9"/>
        <color rgb="FF00B050"/>
        <rFont val="Aptos Narrow"/>
        <family val="2"/>
        <scheme val="minor"/>
      </rPr>
      <t>Scenario 6</t>
    </r>
    <r>
      <rPr>
        <sz val="9"/>
        <color theme="1"/>
        <rFont val="Aptos Narrow"/>
        <family val="2"/>
        <scheme val="minor"/>
      </rPr>
      <t xml:space="preserve">: Raghu is excited. Tomorrow, Mindtree has booked the entire restaurent for lunch for their Kalinga batch. As they start preparing, they realize that their grocery vendor has not supplied the order to meet Mindtree's requirements. Vendor is not answering the mobile. This has to be fixed. What phase of ITIL Lifecycle does this fall? </t>
    </r>
  </si>
  <si>
    <r>
      <rPr>
        <b/>
        <u/>
        <sz val="9"/>
        <color rgb="FF00B050"/>
        <rFont val="Aptos Narrow"/>
        <family val="2"/>
        <scheme val="minor"/>
      </rPr>
      <t>Scenario 7</t>
    </r>
    <r>
      <rPr>
        <b/>
        <sz val="9"/>
        <color rgb="FF00B050"/>
        <rFont val="Aptos Narrow"/>
        <family val="2"/>
        <scheme val="minor"/>
      </rPr>
      <t>:</t>
    </r>
    <r>
      <rPr>
        <sz val="9"/>
        <color theme="1"/>
        <rFont val="Aptos Narrow"/>
        <family val="2"/>
        <scheme val="minor"/>
      </rPr>
      <t xml:space="preserve"> Raghu's restaurent is now one month old. As a process, along with each bill they submit to their customer, they also share a feedback form and actively seek feedback. They have now analysed the customer's feedback for the last 1 month. Customer's point out 3 areas for improvement: 1) their Hyderabadi biriyani is not spicy enough 2) They must include additional dishes for Jains (non garlic, no onion etc) 3) The time taken to complete payment is too long. Raghu, his managers, and chief chef analysed the feedback, went back to their respective processes and made the following changes:  1) Made  the biriyani much more spicy  2) Introduced 3 Jain friendly dishes 3) Repaired the central air conditioning to be responsive to the crowd in the restaurent. What lifestage in the ITIL lifecycle are Raghu and his manager's in? </t>
    </r>
  </si>
  <si>
    <r>
      <rPr>
        <b/>
        <u/>
        <sz val="9"/>
        <color rgb="FF00B050"/>
        <rFont val="Aptos Narrow"/>
        <family val="2"/>
        <scheme val="minor"/>
      </rPr>
      <t>Scenario 8</t>
    </r>
    <r>
      <rPr>
        <u/>
        <sz val="9"/>
        <color theme="1"/>
        <rFont val="Aptos Narrow"/>
        <family val="2"/>
        <scheme val="minor"/>
      </rPr>
      <t>:</t>
    </r>
    <r>
      <rPr>
        <sz val="9"/>
        <color theme="1"/>
        <rFont val="Aptos Narrow"/>
        <family val="2"/>
        <scheme val="minor"/>
      </rPr>
      <t xml:space="preserve"> Your family and yourself are pretty excited - you have decided to build your family house. Will ITIL help you to build that perfect house? What activities will happen in which lifecycle? You can Roleplay/perform a skit to demonstrate your understanding. </t>
    </r>
  </si>
  <si>
    <r>
      <rPr>
        <b/>
        <u/>
        <sz val="8"/>
        <color rgb="FF00B050"/>
        <rFont val="Aptos Narrow"/>
        <family val="2"/>
        <scheme val="minor"/>
      </rPr>
      <t>Scenario's relating to MyCart.com</t>
    </r>
    <r>
      <rPr>
        <sz val="8"/>
        <color theme="1"/>
        <rFont val="Aptos Narrow"/>
        <family val="2"/>
        <scheme val="minor"/>
      </rPr>
      <t xml:space="preserve">
Can ITIL framework help the founders of MyCart.com to start and run a successful enterprise? If yes, how? If No, why not?
Raghu, Prabhu and Guru worked in the US and they did very well for themselves. In which stage of ITIL Lifecycle are they in? 
Raghu, Prabhu &amp; Guru wanted to do something for their community. They spent enormous amount of time when in US to research about their ideas and zeroed down on starting a company to help their community. Thus was born the idea of Mycart.com. This activity happens in which lifecycle phase of ITIL?
Raghu, Prabhu &amp; Guru registered their company with the help of their lawyer. They formed the company board. Raghu because the CEO, Prabhu the head of finance and Guru the head of IT. In which stage of ITIL Cycle does this happen?
Raghu, Prabhu &amp; Guru realized they needed to bring in additional talent from outside. Accordingly, they drew an organization chart, decided the different roles which were needed, created job descriptions, advertised in news papers, interviewed people and offered them roles in their new company. IN whch stage of ITIL does this happen? 
Guru came up with a 5 year IT Plan. They decided how many datacenters they wanted, where they wanted them, what work they will do in house and what work will happen through vendors. This was approved by the board of the company. In which stage of Lifecycle are they in? 
Guru signed agreements with vendors. Together, they sat down and decided the various processes required to manage the environment. They conducted training for their staff, their managers and their leaders. In which stage of ITIL does this happen? 
Guru and the vendors test the environment compleatly, including shutting down servers randomly to see if their recovery plan and recovery timeframe was met. In which stage of ITIL does this happen? 
On 1st of Sept. Raghu, Prabhu and Guru invite the principal of their engineering college to inagurate MyCart.com. Invited also were the various NGO's and their family and friend. On 1st Sept, their college principal cuts the ribbon and buys their first product online. In which stage if ITIL does this happen?
on 10th of Sept, one of their vendor servers crashes. This shuts down the vendor portal and vendors are not able to do connect to Mycart.com. Which stage of ITIL tells you how to handle this situation?
on 2nd October, after a month's operation, they do a quick analysis of their business transactions. They notice that there are many customers who appreciated the products, but said their website can be a little more friendly by including multiple Indian languages. The team thinks this  is a good idea. It is an easily implementable idea. They begin working on changing their Website to include Hindi to start with and test it out. In which stage of ITIL is Mycart.com in?</t>
    </r>
  </si>
  <si>
    <t xml:space="preserve">IT Service Operations </t>
  </si>
  <si>
    <t xml:space="preserve">Purpose of Service Operations
Explain different types of communication, their importance, with real life (IT/Non IT) examples
Explain difference between Events, Alerts and Incidents and their importance, with real life examples </t>
  </si>
  <si>
    <t xml:space="preserve">Group discussion &amp; Whiteboarding : What key concepts and terms did you learn? Explain your learning by sharing examples from your real life. 
</t>
  </si>
  <si>
    <t xml:space="preserve">Data Centers: Context setting for ITIL </t>
  </si>
  <si>
    <t>Appreciate how complex IT usage is.
Understand the use of ITIL to manage complex IT infrastructure</t>
  </si>
  <si>
    <t xml:space="preserve">Both video's introduce the complexity of managing IT and the importance of ITIL </t>
  </si>
  <si>
    <t>Day 2</t>
  </si>
  <si>
    <t>Event Management</t>
  </si>
  <si>
    <t>Definition of Event Management
Importance of Event Management in IT Service Management (ITSM)
Alignment with ITIL 4 Principles
Event Management in the ITIL Service Lifecycle
Role of Event Management in ITIL 4
Relationship with Other ITIL Practices
Integration with Service Value Chain (SVC)
Key Concepts of ITIL Event Management
What is an Event?
Types of Events in ITIL
•	Informational Events
•	Warning Events
•	Exception Events
Event vs. Incident vs. Problem
Event Management Process Flow
Event Detection
Event Logging
Event Filtering and Categorization
Event Correlation and Analysis
Event Response and Notification
Event Closure and Documentation</t>
  </si>
  <si>
    <t xml:space="preserve">Whiteboarding: What do you understand by the term "Availability". What is the key purpose of Event Management?
What key concepts and terms did you learn? Explain your learning by sharing examples from your real life. </t>
  </si>
  <si>
    <t>Scenario 1: You have just now graduated from Kalinga. You return home. Your father proudly shows you the new overhead tank he has installed, the underground sump he has built and the water pumping system to pump water from sump to the overhead tank. He understands you have completed ITIL Event management and wants your help to configure an event management system in such a way that your mother can switch on the pump when water runs low in the overhead sump. The idea is to never run out of water in the overhead tank i.e 99.999% water availability. What kind of events will you set up and what instructions will you give your mother for each type of event?</t>
  </si>
  <si>
    <r>
      <rPr>
        <b/>
        <u/>
        <sz val="9"/>
        <color rgb="FF00B050"/>
        <rFont val="Aptos Narrow"/>
        <family val="2"/>
        <scheme val="minor"/>
      </rPr>
      <t>Scenario 2</t>
    </r>
    <r>
      <rPr>
        <sz val="9"/>
        <color theme="1"/>
        <rFont val="Aptos Narrow"/>
        <family val="2"/>
        <scheme val="minor"/>
      </rPr>
      <t xml:space="preserve"> : In MyCart.com story, the CIO wanted his IT Vendor to provide availability of 99.99%. In a day of 24 hours, 99.9% availability will mean how many hours of availability of IT service and how much will be the downtime? 
</t>
    </r>
  </si>
  <si>
    <r>
      <rPr>
        <b/>
        <u/>
        <sz val="9"/>
        <color rgb="FF00B050"/>
        <rFont val="Aptos Narrow"/>
        <family val="2"/>
        <scheme val="minor"/>
      </rPr>
      <t xml:space="preserve">Scenario 3 </t>
    </r>
    <r>
      <rPr>
        <sz val="9"/>
        <color theme="1"/>
        <rFont val="Aptos Narrow"/>
        <family val="2"/>
        <scheme val="minor"/>
      </rPr>
      <t xml:space="preserve">:  On your mobile phone, are there any events configured? What are those? 
Do you manage these events? If yes, how do you manage? What will happen if you don’t manage the events? </t>
    </r>
  </si>
  <si>
    <r>
      <rPr>
        <b/>
        <u/>
        <sz val="9"/>
        <color rgb="FF00B050"/>
        <rFont val="Aptos Narrow"/>
        <family val="2"/>
        <scheme val="minor"/>
      </rPr>
      <t>Scenario 4</t>
    </r>
    <r>
      <rPr>
        <sz val="9"/>
        <color rgb="FF00B050"/>
        <rFont val="Aptos Narrow"/>
        <family val="2"/>
        <scheme val="minor"/>
      </rPr>
      <t>:</t>
    </r>
    <r>
      <rPr>
        <sz val="9"/>
        <color theme="1"/>
        <rFont val="Aptos Narrow"/>
        <family val="2"/>
        <scheme val="minor"/>
      </rPr>
      <t xml:space="preserve"> In ICU's of major hospitals, it is normal to see various monitoring devices connected to patients -Heart rate, BP, Oxygen level in blood etc. Can this be called as event management? What kind of an event management is it? Proactive or Reactive?</t>
    </r>
  </si>
  <si>
    <r>
      <rPr>
        <b/>
        <u/>
        <sz val="9"/>
        <color rgb="FF00B050"/>
        <rFont val="Aptos Narrow"/>
        <family val="2"/>
        <scheme val="minor"/>
      </rPr>
      <t>Scenario 5</t>
    </r>
    <r>
      <rPr>
        <b/>
        <u/>
        <sz val="9"/>
        <color theme="1"/>
        <rFont val="Aptos Narrow"/>
        <family val="2"/>
        <scheme val="minor"/>
      </rPr>
      <t>:</t>
    </r>
    <r>
      <rPr>
        <sz val="9"/>
        <color theme="1"/>
        <rFont val="Aptos Narrow"/>
        <family val="2"/>
        <scheme val="minor"/>
      </rPr>
      <t xml:space="preserve"> Rishab is 55 years old. His company has adviced him to avail a medical check up. At the end of the medical checkup, Rishab is given a bunch of reports covering his heart function, Sugar levels, BP etc. These reports - can they be considered as events? If yes, what kind of event are these? Rishab notices his blood glucose level is way above the avarage level for people of his age and is highlighted in red. What kind of an event is this and should Rishab manage this?</t>
    </r>
  </si>
  <si>
    <r>
      <rPr>
        <b/>
        <u/>
        <sz val="9"/>
        <color rgb="FF00B050"/>
        <rFont val="Aptos Narrow"/>
        <family val="2"/>
        <scheme val="minor"/>
      </rPr>
      <t xml:space="preserve">Scenario 6: </t>
    </r>
    <r>
      <rPr>
        <sz val="9"/>
        <color theme="1"/>
        <rFont val="Aptos Narrow"/>
        <family val="2"/>
        <scheme val="minor"/>
      </rPr>
      <t xml:space="preserve">Rajee bought a new scooter. The dealer filled the petrol tank fully and the gasoline meter showed "F". Over the next week, she drove all round the city with her friends, getting the hang of driving the scooter. Now the needle on the Gasoline meter indicates "E". Is this an event? What is the significance of the event? Should Rajee manage this event? Are there any negative consequences of Rajee not managing this event? </t>
    </r>
  </si>
  <si>
    <r>
      <rPr>
        <b/>
        <u/>
        <sz val="9"/>
        <color rgb="FF00B050"/>
        <rFont val="Aptos Narrow"/>
        <family val="2"/>
        <scheme val="minor"/>
      </rPr>
      <t>Scenario 7:</t>
    </r>
    <r>
      <rPr>
        <sz val="9"/>
        <color theme="1"/>
        <rFont val="Aptos Narrow"/>
        <family val="2"/>
        <scheme val="minor"/>
      </rPr>
      <t xml:space="preserve"> Shiva works for MIndtree's server team. He recently graduated from Kalinga and this is his first day on the job. He is  part of the monitoring team. At 6 am, he gets an alert from one of the critical servers. Event description is:" Disk utilization is 50%. 50% disk space free. No action required". What type of an event is this? Shiva ignores the event as per the instruction. Is Shiva managing the event notification?
An hour later, he gets another alert from a different server "Disk utilization is 99%. Only 1% disk space free" What kind of an event is this? Should Shiva manage this event?</t>
    </r>
  </si>
  <si>
    <t xml:space="preserve">Scenario 8: You are the engineer on shift this Sunday morning. You are all alone. It is one hour since you came to work and there were no alerts. Suddenly, you received the following alerts
Alert 1: Disk space for Production  server 'payroll' 60% full
Alert 2: Disk space for non production  server 'ticket distribution' 98% full
Alert 3: Disk space for production server 'travel plan' is 98% full
Which alert will you investigate first, why? </t>
  </si>
  <si>
    <r>
      <rPr>
        <b/>
        <u/>
        <sz val="9"/>
        <color rgb="FF00B050"/>
        <rFont val="Aptos Narrow"/>
        <family val="2"/>
        <scheme val="minor"/>
      </rPr>
      <t>Scenario 9</t>
    </r>
    <r>
      <rPr>
        <sz val="9"/>
        <color theme="1"/>
        <rFont val="Aptos Narrow"/>
        <family val="2"/>
        <scheme val="minor"/>
      </rPr>
      <t>- How can event management be used by MyCart.com's vendor to provide availability of 99.9% ?</t>
    </r>
  </si>
  <si>
    <t xml:space="preserve">Event, Incident, Problem to name few with an ultimate objective to achieve AVAILABILITY which is key goal of ITIL. </t>
  </si>
  <si>
    <t>Incident management</t>
  </si>
  <si>
    <t xml:space="preserve"> Share differences between an incident and an Event
 Explain difference between Severity, Impact and Priority
Share their perspective about SLA and importance of meeting SLAs
 Difference between a high priority incident &amp; a Major Incident
Explain how Major Incidents are handled, the role of the Major Incident Manager and its importance                                                                                     Incident Management in the ITIL Service Lifecycle
Role of Incident Management in ITIL 4
Relationship with Other ITIL Practices (Event, Problem, Change Management)
Integration with the ITIL Service Value Chain
Key Concepts of ITIL Incident Management
What is an Incident?
Types of Incidents
•	Service Requests vs. Incidents
•	Major vs. Minor Incidents
3.3 Incident vs. Event vs. Problem
Incident Management Process Flow
Incident Identification
Incident Logging
Incident Categorization
Incident Diagnosis and Investigation
Incident Resolution and Recovery
Incident Closure</t>
  </si>
  <si>
    <t xml:space="preserve">Group Discussion &amp; White boarding: What key concepts and terms did you learn? Explain your learning by sharing examples from your real life.  What is the objective of Incident Management? 
</t>
  </si>
  <si>
    <r>
      <rPr>
        <b/>
        <u/>
        <sz val="9"/>
        <color rgb="FF00B050"/>
        <rFont val="Aptos Narrow"/>
        <family val="2"/>
        <scheme val="minor"/>
      </rPr>
      <t>Scenario 1</t>
    </r>
    <r>
      <rPr>
        <sz val="9"/>
        <color theme="1"/>
        <rFont val="Aptos Narrow"/>
        <family val="2"/>
        <scheme val="minor"/>
      </rPr>
      <t xml:space="preserve">: Raghu is a Kalinga Campus Mind. He arrived at the Kalinga Campus yesterday. He is trying to call his parents using his mobile to let them know he has arrived safely. Unfortunately, his mobile phone indicates there is no signal (network connectivity). Is this an incident? Why? What will be the severity &amp; Priority given to this by his network provider? </t>
    </r>
  </si>
  <si>
    <r>
      <rPr>
        <b/>
        <u/>
        <sz val="9"/>
        <color rgb="FF00B050"/>
        <rFont val="Aptos Narrow"/>
        <family val="2"/>
        <scheme val="minor"/>
      </rPr>
      <t xml:space="preserve">Scenario 2: </t>
    </r>
    <r>
      <rPr>
        <sz val="9"/>
        <color theme="1"/>
        <rFont val="Aptos Narrow"/>
        <family val="2"/>
        <scheme val="minor"/>
      </rPr>
      <t xml:space="preserve">Raghu desperately wants to call his parents. He friend Shiva has a mobile phone and network connectivity. Shiva suggests that Raghu use his phone to call his parents and let them know he has reached safe. Raghu is able to call his parents and let them know he has reached safely. In ITIL terms, what is this solution called? </t>
    </r>
  </si>
  <si>
    <r>
      <rPr>
        <b/>
        <u/>
        <sz val="9"/>
        <color rgb="FF00B050"/>
        <rFont val="Aptos Narrow"/>
        <family val="2"/>
        <scheme val="minor"/>
      </rPr>
      <t>Scenario 3:</t>
    </r>
    <r>
      <rPr>
        <sz val="9"/>
        <color theme="1"/>
        <rFont val="Aptos Narrow"/>
        <family val="2"/>
        <scheme val="minor"/>
      </rPr>
      <t xml:space="preserve"> By evening Raghu has made many friends at Kalinga. He finds out that other Minds in Kalinga who have services from the same network provider are not able to connect to the network too. 25 of them call the network service provider and log a complaint. When they do so, the network provider informs them that their services are disrupted all over Bhubaneshwar. For the service provider, is this an Incident? What kind of an incident is this? And what ITIL process should the network service provider follow? </t>
    </r>
  </si>
  <si>
    <r>
      <rPr>
        <b/>
        <u/>
        <sz val="9"/>
        <color rgb="FF00B050"/>
        <rFont val="Aptos Narrow"/>
        <family val="2"/>
        <scheme val="minor"/>
      </rPr>
      <t>Scenario 4:</t>
    </r>
    <r>
      <rPr>
        <sz val="9"/>
        <color theme="1"/>
        <rFont val="Aptos Narrow"/>
        <family val="2"/>
        <scheme val="minor"/>
      </rPr>
      <t xml:space="preserve"> The CEO of Mindtree has an important Video Conference with a large client. This video conference call is to convince the large client that their contract with Mindtree must be renewed. 30 minutes before the meeting, Mindtree's IT team establishes connection and ensure everything is ready for the conference call. Just before the conference started, the connectivity went down. Should Mindtree's IT department log an Incident ? What should be the severity and priority of this incident? </t>
    </r>
  </si>
  <si>
    <r>
      <rPr>
        <b/>
        <u/>
        <sz val="9"/>
        <color rgb="FF00B050"/>
        <rFont val="Aptos Narrow"/>
        <family val="2"/>
        <scheme val="minor"/>
      </rPr>
      <t>Scenario 5</t>
    </r>
    <r>
      <rPr>
        <sz val="9"/>
        <color theme="1"/>
        <rFont val="Aptos Narrow"/>
        <family val="2"/>
        <scheme val="minor"/>
      </rPr>
      <t>: Raghu  has problem with his laptop. He is unable to boot it. Fortunately, Raghu has class room session for the rest of the day and does not need his laptop. He hands over the laptop to the IT team and requests it to be fixed. Should IT department log an Incident ticket? What should be the priority of this ticket? At the same time, Ram C Mohan, Executive Vice President and Head of IMTS, has a problem with his laptop and hands over the laptop to the IT team. Should the IT team log a ticket? What should be the priority given to the ticket?</t>
    </r>
  </si>
  <si>
    <r>
      <rPr>
        <b/>
        <u/>
        <sz val="9"/>
        <color rgb="FF00B050"/>
        <rFont val="Aptos Narrow"/>
        <family val="2"/>
        <scheme val="minor"/>
      </rPr>
      <t>Scenario 6</t>
    </r>
    <r>
      <rPr>
        <sz val="9"/>
        <color theme="1"/>
        <rFont val="Aptos Narrow"/>
        <family val="2"/>
        <scheme val="minor"/>
      </rPr>
      <t>: Raghu finishes his class for the day. He has been given an assignment to be completed and submitted next day. He wants to work on the assignment in his room that night and visits the IT department to collect his laptop. IT department says Raghu's laptop is still not fixed. Raghu said he definitely needs his laptop because he has an assignment to complete. IT department gives Raghu a standby laptop, promising to return Raghu's laptop the next day. What is this solution called in ITIL terms? Can the IT  team close Raghu's indicent ticket? If yes, why? If no, Why not?</t>
    </r>
  </si>
  <si>
    <r>
      <rPr>
        <b/>
        <u/>
        <sz val="9"/>
        <color rgb="FF00B050"/>
        <rFont val="Aptos Narrow"/>
        <family val="2"/>
        <scheme val="minor"/>
      </rPr>
      <t>Scenario 7</t>
    </r>
    <r>
      <rPr>
        <sz val="9"/>
        <color theme="1"/>
        <rFont val="Aptos Narrow"/>
        <family val="2"/>
        <scheme val="minor"/>
      </rPr>
      <t>:  Ramee is an Kalinga Mind now deployed in ABC account. 15 Minutes ago, he received an incident ticket reporting a server is down. This is a Priority 1 incident. Response time is 5 Minutes and resolution time is 2 hours. Ramee picked up this ticket and acknowledged the ticket in 7 minutes. Did he meet the Response time target? He is now working not the ticket and at the end of 1.5 hours, he has no solution in sight. He escalates the ticket, giving all the details to the senior engineer James. What is this kind of escalation called in ITIL Terms? 
James realizes this is a very critical server for the customer and requires 2 more hours to fix the issue. He knows the customer will be extremely upset if this is not fixed and he is not informed. James informs his manager Joe. Joe reaches out to the customer and lets the customer know this incident is being worked on and that Joe will keep the customer informed about progress every 30 minutes. What is this type of escalation called in ITIL terms? In this case did the team meet resolution SLA?</t>
    </r>
  </si>
  <si>
    <r>
      <rPr>
        <b/>
        <u/>
        <sz val="9"/>
        <color rgb="FF00B050"/>
        <rFont val="Aptos Narrow"/>
        <family val="2"/>
        <scheme val="minor"/>
      </rPr>
      <t>Scenario 8</t>
    </r>
    <r>
      <rPr>
        <b/>
        <u/>
        <sz val="9"/>
        <color theme="1"/>
        <rFont val="Aptos Narrow"/>
        <family val="2"/>
        <scheme val="minor"/>
      </rPr>
      <t>:</t>
    </r>
    <r>
      <rPr>
        <sz val="9"/>
        <color theme="1"/>
        <rFont val="Aptos Narrow"/>
        <family val="2"/>
        <scheme val="minor"/>
      </rPr>
      <t xml:space="preserve"> Mycart.com's website is down. Customers are unable to log in and shop. Should a Major Incident Process be invoked? </t>
    </r>
  </si>
  <si>
    <r>
      <rPr>
        <b/>
        <u/>
        <sz val="9"/>
        <color rgb="FF00B050"/>
        <rFont val="Aptos Narrow"/>
        <family val="2"/>
        <scheme val="minor"/>
      </rPr>
      <t>Scenario 9</t>
    </r>
    <r>
      <rPr>
        <sz val="9"/>
        <color theme="1"/>
        <rFont val="Aptos Narrow"/>
        <family val="2"/>
        <scheme val="minor"/>
      </rPr>
      <t xml:space="preserve">: Mycart.com's IT vendor has promised IT availability at 99.9%. Will Incidents in the environment  help or hinder the avaiability goal of 99.9%? How will effective &amp; efficient management of Incidents help achieve 99.9% availability? </t>
    </r>
  </si>
  <si>
    <r>
      <rPr>
        <b/>
        <u/>
        <sz val="9"/>
        <color theme="9" tint="-0.249977111117893"/>
        <rFont val="Aptos Narrow"/>
        <family val="2"/>
        <scheme val="minor"/>
      </rPr>
      <t>Scenario 10</t>
    </r>
    <r>
      <rPr>
        <sz val="9"/>
        <color theme="9" tint="-0.249977111117893"/>
        <rFont val="Aptos Narrow"/>
        <family val="2"/>
        <scheme val="minor"/>
      </rPr>
      <t xml:space="preserve">: </t>
    </r>
    <r>
      <rPr>
        <sz val="9"/>
        <color theme="1"/>
        <rFont val="Aptos Narrow"/>
        <family val="2"/>
        <scheme val="minor"/>
      </rPr>
      <t xml:space="preserve">You are on duty on Sunday morning 6 am. You are servicing an US customer. It is a long weekend in the US, so your customer's organization is shut for the long weekend.  You receive a phone call from a user in the US stating her mailbox is down since 15 minutes. You have to log an incident. What will be the priority you will assign to this ticket, and why? </t>
    </r>
  </si>
  <si>
    <r>
      <rPr>
        <b/>
        <u/>
        <sz val="9"/>
        <color theme="9" tint="-0.249977111117893"/>
        <rFont val="Aptos Narrow"/>
        <family val="2"/>
        <scheme val="minor"/>
      </rPr>
      <t>Scenario 11</t>
    </r>
    <r>
      <rPr>
        <b/>
        <u/>
        <sz val="9"/>
        <color theme="1"/>
        <rFont val="Aptos Narrow"/>
        <family val="2"/>
        <scheme val="minor"/>
      </rPr>
      <t xml:space="preserve"> : </t>
    </r>
    <r>
      <rPr>
        <sz val="9"/>
        <color theme="1"/>
        <rFont val="Aptos Narrow"/>
        <family val="2"/>
        <scheme val="minor"/>
      </rPr>
      <t>You are on duty on Monday morning, US time, servicing an US client at 11 am US time. The user mentioned her mailbox is down since the last 15 minutes. She helpfully mentions one of her colleagues also complained that his mailbox was down. You do a quick check from the backend and find out that there is a technical glitch and the email server servicing that location is down. You have to log an incident ticket - what priority will you assign to this ticket?</t>
    </r>
  </si>
  <si>
    <r>
      <rPr>
        <b/>
        <u/>
        <sz val="9"/>
        <color theme="1"/>
        <rFont val="Aptos Narrow"/>
        <family val="2"/>
        <scheme val="minor"/>
      </rPr>
      <t xml:space="preserve">Scenario 12 </t>
    </r>
    <r>
      <rPr>
        <sz val="9"/>
        <color theme="1"/>
        <rFont val="Aptos Narrow"/>
        <family val="2"/>
        <scheme val="minor"/>
      </rPr>
      <t>: Rostow Ravanan, the CEO of Mindtree has difficulty accessing emails - he gets the message " the email server you are logging into is down".. You have to log an incident ticket. What priority will you assign to this ticket? Explain the logic for choosing the priority you chose.
Sita sharma is an engineer working at Mindtree. She called at the same time that Rostow called with a similar issue.  What priority will you assign to Sita's incident ticket?</t>
    </r>
  </si>
  <si>
    <r>
      <rPr>
        <b/>
        <u/>
        <sz val="9"/>
        <color theme="1"/>
        <rFont val="Aptos Narrow"/>
        <family val="2"/>
        <scheme val="minor"/>
      </rPr>
      <t>Scenario 13:</t>
    </r>
    <r>
      <rPr>
        <sz val="9"/>
        <color theme="1"/>
        <rFont val="Aptos Narrow"/>
        <family val="2"/>
        <scheme val="minor"/>
      </rPr>
      <t xml:space="preserve"> Mycart.com has been promised 99.9% availability of their Web Portal server. Will managing Incidents  help Mindtree achieve achieve this 99.9% goal? What is the reasoning behind your answer? </t>
    </r>
  </si>
  <si>
    <r>
      <rPr>
        <b/>
        <sz val="9"/>
        <color theme="9" tint="-0.249977111117893"/>
        <rFont val="Aptos Narrow"/>
        <family val="2"/>
        <scheme val="minor"/>
      </rPr>
      <t xml:space="preserve">Scenario 14 </t>
    </r>
    <r>
      <rPr>
        <sz val="9"/>
        <color theme="1"/>
        <rFont val="Aptos Narrow"/>
        <family val="2"/>
        <scheme val="minor"/>
      </rPr>
      <t xml:space="preserve">: You have just logged in at work. You look at your Incidents bin. There are 10 Incidents waiting for your attention. 8 of them are Priority 4, 1 is Priority 3 and one is priority 2. Which one will you pick up first and why? </t>
    </r>
  </si>
  <si>
    <r>
      <rPr>
        <b/>
        <sz val="9"/>
        <color theme="9" tint="-0.249977111117893"/>
        <rFont val="Aptos Narrow"/>
        <family val="2"/>
        <scheme val="minor"/>
      </rPr>
      <t>Scenario 15</t>
    </r>
    <r>
      <rPr>
        <sz val="9"/>
        <color theme="1"/>
        <rFont val="Aptos Narrow"/>
        <family val="2"/>
        <scheme val="minor"/>
      </rPr>
      <t>: You are stuck on a Windows Incident ticket of a VIP customer. You don’t have the knowledge to solve it. You reach out to your lead and as per process, you transfer the ticket to the lead. Are you following the escalation process? What kind of an escalation is this?Your lead also is unable to solve the incident and reaches out to the technical architect on the team. What kind of an escalation is this? Your architect realizes that this will take time to solve and reaches out to the customer manager and asks customer manager to engage the vip customer. Is the Architect escalating? What kind of an escalation is this?</t>
    </r>
  </si>
  <si>
    <t xml:space="preserve">Problem Mangement </t>
  </si>
  <si>
    <t xml:space="preserve"> Explain the difference between Incident and Problem, with real life example (IT/Non IT)
What is a Problem?
Problem vs. Incident vs. Known Error
Types of Problems
•	Reactive Problem Management
•	Proactive Problem Management
3.4 Known Error Database (KEDB) and Workarounds
Problem Management Process Flow
Problem Identification
Problem Logging
Problem Categorization
Problem Prioritization (Impact vs. Urgency)
Problem Investigation and Diagnosis
Root Cause Analysis (RCA)
Problem Resolution and Recovery
Problem Closure
</t>
  </si>
  <si>
    <t xml:space="preserve">Group Discussion &amp; white boarding: What is Problem management? How is it different from Event management and Incident management?  </t>
  </si>
  <si>
    <r>
      <rPr>
        <b/>
        <u/>
        <sz val="9"/>
        <color rgb="FF00B050"/>
        <rFont val="Aptos Narrow"/>
        <family val="2"/>
        <scheme val="minor"/>
      </rPr>
      <t xml:space="preserve">Scenario 1: </t>
    </r>
    <r>
      <rPr>
        <sz val="9"/>
        <color theme="1"/>
        <rFont val="Aptos Narrow"/>
        <family val="2"/>
        <scheme val="minor"/>
      </rPr>
      <t xml:space="preserve">Rajee's scooter is now one month old. This morning, when she tried to start her scooter, it did not start. He brother push started the scooter. Rajee thought this was funny, but was happy she was able to reach office in time. Evening, her scooter did not start again. Her colleague pushed started her scooter. Rajee reached home. She asks her borther to help. Her brother cleaned the spark plug and checked that it started. Next morning, Rajee's scooter did not start again. Her brother push started the scooter and Rajee reached office. In ITIL terms, what is this situation called? In ITIL terms, what is not identified yet? </t>
    </r>
  </si>
  <si>
    <r>
      <rPr>
        <b/>
        <u/>
        <sz val="9"/>
        <color rgb="FF00B050"/>
        <rFont val="Aptos Narrow"/>
        <family val="2"/>
        <scheme val="minor"/>
      </rPr>
      <t>Scenario 2:</t>
    </r>
    <r>
      <rPr>
        <sz val="9"/>
        <color theme="1"/>
        <rFont val="Aptos Narrow"/>
        <family val="2"/>
        <scheme val="minor"/>
      </rPr>
      <t xml:space="preserve"> All of us know you are the best selfie champion. You bought a new mobile phone with a super high resolution selifie camera. One day after you bought it, you had an opportunity to take a selife along with your CEO. Unfortunately, your selfie camera failed. You took it to the mobile phone company and they said it was to do with corrupted settings and reset the camera. Next day, you had an opportunity to take a selfie picture with the COO of your company. Unfortunately, your selfie camera did not work again. You took it to the mobile phone shop and they repaired it again. Said it was a software problem. The next day, you had an opportunity to take a selfie picture with your CIO. Your selfie camera did not work again! In ITIL terms, what process must be applied to address your problem? In ITIL terms, what has still not been identified?</t>
    </r>
  </si>
  <si>
    <r>
      <rPr>
        <b/>
        <u/>
        <sz val="9"/>
        <color rgb="FF00B050"/>
        <rFont val="Aptos Narrow"/>
        <family val="2"/>
        <scheme val="minor"/>
      </rPr>
      <t>Scenario 3</t>
    </r>
    <r>
      <rPr>
        <sz val="9"/>
        <color theme="1"/>
        <rFont val="Aptos Narrow"/>
        <family val="2"/>
        <scheme val="minor"/>
      </rPr>
      <t>: Mindtree's PeopleHub website has a performance problem. MInds using People hub between 9 am and 10 am for the last 5 days have been complaining of extremen slowness. Incident tickets have been logged by different Minds over the last 5 days. Will Problem management help resolve this issue? How?</t>
    </r>
  </si>
  <si>
    <r>
      <rPr>
        <b/>
        <u/>
        <sz val="9"/>
        <color rgb="FF00B050"/>
        <rFont val="Aptos Narrow"/>
        <family val="2"/>
        <scheme val="minor"/>
      </rPr>
      <t>Scenario 4 :</t>
    </r>
    <r>
      <rPr>
        <sz val="9"/>
        <color theme="1"/>
        <rFont val="Aptos Narrow"/>
        <family val="2"/>
        <scheme val="minor"/>
      </rPr>
      <t xml:space="preserve"> Can Problem Management be used to provide availability of 99.9%? </t>
    </r>
  </si>
  <si>
    <t xml:space="preserve">Scenario 5: Rashmi and Reshma are attending the ITIL class at Kalinga. They are going through Problem management. They have a disagreement and want your help. Rashmi says Problem management is applicable only if there are repetitive incidents and not when there is just one incident for which the root cause has not been found. Reshma disagrees and they are not able to agree. What does your group think? IS Rashmi right? Or is Reshma right? </t>
  </si>
  <si>
    <t xml:space="preserve">Change Management </t>
  </si>
  <si>
    <t xml:space="preserve"> Explain when Change mangement comes into picture
Benefits of Change Management 
 Difference between CAB, ECAB. And their applicability
 Difference between Change approver, requestor roles     Key Concepts of ITIL Change Management
What is a Change?
Types of Changes in ITIL
•	Standard Changes
•	Normal Changes
•	Emergency Changes
Change vs. Release vs. Deployment
Change Management Process Flow
Change Request Submission (Request for Change - RFC)
Change Logging and Classification
Change Impact and Risk Assessment
Change Approval Process (CAB – Change Advisory Board)
Change Implementation and Testing
Change Review and Closure
Change Advisory Board (CAB) and Emergency CAB (ECAB)
Role and Responsibilities of CAB
Emergency Change Handling with ECAB
Change Authorization Process
</t>
  </si>
  <si>
    <t>Group Discussion &amp; White Boarding: 
 What key concepts and terms did you learn? Explain your learning by sharing examples from your real life</t>
  </si>
  <si>
    <r>
      <rPr>
        <b/>
        <u/>
        <sz val="10"/>
        <color rgb="FF00B050"/>
        <rFont val="Aptos Narrow"/>
        <family val="2"/>
        <scheme val="minor"/>
      </rPr>
      <t>Scenario 1</t>
    </r>
    <r>
      <rPr>
        <b/>
        <sz val="10"/>
        <color rgb="FF00B050"/>
        <rFont val="Aptos Narrow"/>
        <family val="2"/>
        <scheme val="minor"/>
      </rPr>
      <t>:</t>
    </r>
    <r>
      <rPr>
        <sz val="10"/>
        <color theme="1"/>
        <rFont val="Aptos Narrow"/>
        <family val="2"/>
        <scheme val="minor"/>
      </rPr>
      <t xml:space="preserve"> You have bought a new android mobile phone. 2 days after you bought the phone, you got a message from the phone manufacturer : A new version of the Operating System is available. Would you like to download and install the update?"  is this Change management? If it is, who is the requestor and who is the approver? As an approver, what factors will you consider before you approve (select Install option in this case) </t>
    </r>
  </si>
  <si>
    <r>
      <rPr>
        <b/>
        <u/>
        <sz val="10"/>
        <color rgb="FF00B050"/>
        <rFont val="Aptos Narrow"/>
        <family val="2"/>
        <scheme val="minor"/>
      </rPr>
      <t>Scenario 2</t>
    </r>
    <r>
      <rPr>
        <sz val="10"/>
        <color theme="1"/>
        <rFont val="Aptos Narrow"/>
        <family val="2"/>
        <scheme val="minor"/>
      </rPr>
      <t xml:space="preserve">: Monday morning, you are about to start your bike to drive to office, only to notice a big pit  has been dug right infront of your gate. You cannot take your bike out, nor can you step out of your home. You are very upset. You have to call your office and let them know that you will not be able to come to work and you are taking leave. Upon investigation, you find that the Metro Water Supply Board (MWSB) has decided to replace all old, leaky, underground water pipes and your street has been the first one for this initiative. 
Could Metro Water Supply Board have followed the  ITIL Change management process and avoided causing this inconvenience to you? How would it have helped MWSB?
In order for MWSB to do this work, they take the support of Metro Roads management department, Metro Construction department (digging, repairs of footpath etc) , State Water supply department (Controls water supply to the city)  and the Metro town planning deparment (budget allocation, Payments to vendors). The overall authority to execute this is the Metro Planning Department. If ITIL Change management process is followed, and if a CAB is formed, who should be the members on the CAB? In this particular case, who will be the change requestor? And for the CAB to approve the change, what is the minimum information that the CHange requestor must provide? </t>
    </r>
  </si>
  <si>
    <r>
      <rPr>
        <b/>
        <u/>
        <sz val="10"/>
        <color rgb="FF00B050"/>
        <rFont val="Aptos Narrow"/>
        <family val="2"/>
        <scheme val="minor"/>
      </rPr>
      <t xml:space="preserve">Scenario 3: </t>
    </r>
    <r>
      <rPr>
        <sz val="10"/>
        <color theme="1"/>
        <rFont val="Aptos Narrow"/>
        <family val="2"/>
        <scheme val="minor"/>
      </rPr>
      <t xml:space="preserve">Mycart.com web site has become very, very slow. Customers are unable to complete transactions and the service desk has begun to receive calls from impacted customers. The major incident manager has formed a team and the issue which is causing the problem has been identified. The problem is with disc space running out. On an urgent basis, additional disc space has to be added. Will change management process be applicable? WHat kind of a change process? Will this change need to be approved? Who will be the approver? </t>
    </r>
  </si>
  <si>
    <r>
      <rPr>
        <b/>
        <u/>
        <sz val="10"/>
        <color rgb="FF00B050"/>
        <rFont val="Aptos Narrow"/>
        <family val="2"/>
        <scheme val="minor"/>
      </rPr>
      <t xml:space="preserve">Scenario 4 </t>
    </r>
    <r>
      <rPr>
        <sz val="10"/>
        <color theme="1"/>
        <rFont val="Aptos Narrow"/>
        <family val="2"/>
        <scheme val="minor"/>
      </rPr>
      <t xml:space="preserve">: Due to maintenance reasons you are supposed to shut down a server which is used for internal email communication within the company. Do we need to follow change management process? How will following change management process help? What will happen if we just shut down the server? </t>
    </r>
  </si>
  <si>
    <r>
      <rPr>
        <b/>
        <u/>
        <sz val="10"/>
        <color rgb="FF00B050"/>
        <rFont val="Aptos Narrow"/>
        <family val="2"/>
        <scheme val="minor"/>
      </rPr>
      <t>Scenario 5</t>
    </r>
    <r>
      <rPr>
        <sz val="10"/>
        <color theme="1"/>
        <rFont val="Aptos Narrow"/>
        <family val="2"/>
        <scheme val="minor"/>
      </rPr>
      <t xml:space="preserve">: you have an approved change ticket for implementation of a security patch at 2pm. You were busy doing other jobs and suddenly realize you have missed to complete the change request. Now the time is 4pm. Can you still implement the  change request you missed? If your answer is Yes, tell us why? If your answer is no, tell us why not and what you should do next? </t>
    </r>
  </si>
  <si>
    <t>Day 3</t>
  </si>
  <si>
    <t xml:space="preserve">Request Fulfilment </t>
  </si>
  <si>
    <t xml:space="preserve">  Explain the difference between Incident and Service Request? 
What is the purpose of "approval" in the case of service request?
 Do Service Requests also have SLA's?</t>
  </si>
  <si>
    <t xml:space="preserve">Group Discussion Whiteboarding: What key concepts and terms did you learn? Explain your learning by sharing examples from your real life. </t>
  </si>
  <si>
    <r>
      <rPr>
        <b/>
        <u/>
        <sz val="9"/>
        <color rgb="FF00B050"/>
        <rFont val="Aptos Narrow"/>
        <family val="2"/>
        <scheme val="minor"/>
      </rPr>
      <t>Scenario 1</t>
    </r>
    <r>
      <rPr>
        <sz val="9"/>
        <color theme="1"/>
        <rFont val="Aptos Narrow"/>
        <family val="2"/>
        <scheme val="minor"/>
      </rPr>
      <t>: You are an engineer working on a Sunday morning. There is no one else in the team. You have been allotted 2 tickets : 1 incident ticket - priority 3 and a service request- priority 3- which one will you choose to work on first? Why?</t>
    </r>
  </si>
  <si>
    <r>
      <rPr>
        <b/>
        <u/>
        <sz val="9"/>
        <color rgb="FF00B050"/>
        <rFont val="Aptos Narrow"/>
        <family val="2"/>
        <scheme val="minor"/>
      </rPr>
      <t>Scenario:2</t>
    </r>
    <r>
      <rPr>
        <sz val="9"/>
        <color theme="1"/>
        <rFont val="Aptos Narrow"/>
        <family val="2"/>
        <scheme val="minor"/>
      </rPr>
      <t xml:space="preserve"> User Amitab wants access to Youtube from his office PC. It is usually given to only select people. Is this a service request or an incident? Before access is provided to Amitab, will Amitab require anybody's approval?</t>
    </r>
  </si>
  <si>
    <r>
      <rPr>
        <b/>
        <u/>
        <sz val="9"/>
        <color rgb="FF00B050"/>
        <rFont val="Aptos Narrow"/>
        <family val="2"/>
        <scheme val="minor"/>
      </rPr>
      <t>Scenario 3</t>
    </r>
    <r>
      <rPr>
        <sz val="9"/>
        <color theme="1"/>
        <rFont val="Aptos Narrow"/>
        <family val="2"/>
        <scheme val="minor"/>
      </rPr>
      <t xml:space="preserve">: Arnab's laptop was working till yesterday evening, when he logged off and went home. This morning, when he got to work, his laptop will not boot. Should Arnab raise a service request or an incident? Does he need anybody's approval to get his laptop fixed? </t>
    </r>
  </si>
  <si>
    <r>
      <rPr>
        <b/>
        <u/>
        <sz val="9"/>
        <color rgb="FF00B050"/>
        <rFont val="Aptos Narrow"/>
        <family val="2"/>
        <scheme val="minor"/>
      </rPr>
      <t>Scenario 4</t>
    </r>
    <r>
      <rPr>
        <sz val="9"/>
        <color theme="1"/>
        <rFont val="Aptos Narrow"/>
        <family val="2"/>
        <scheme val="minor"/>
      </rPr>
      <t xml:space="preserve">: Arnab's laptop is now working. He would like to install a special software, MS Visio, which is not normally given to all employees. Will he now have to request again? Will it be an Incident or Service Request? Will additional approval be required? What is the purpose of this approval? </t>
    </r>
  </si>
  <si>
    <r>
      <rPr>
        <b/>
        <u/>
        <sz val="9"/>
        <color rgb="FF00B050"/>
        <rFont val="Aptos Narrow"/>
        <family val="2"/>
        <scheme val="minor"/>
      </rPr>
      <t>Scenario 5</t>
    </r>
    <r>
      <rPr>
        <sz val="9"/>
        <color theme="1"/>
        <rFont val="Aptos Narrow"/>
        <family val="2"/>
        <scheme val="minor"/>
      </rPr>
      <t>: why is prioritization important as per ITIL</t>
    </r>
  </si>
  <si>
    <r>
      <rPr>
        <b/>
        <u/>
        <sz val="9"/>
        <color rgb="FF00B050"/>
        <rFont val="Aptos Narrow"/>
        <family val="2"/>
        <scheme val="minor"/>
      </rPr>
      <t>Scenario 6</t>
    </r>
    <r>
      <rPr>
        <sz val="9"/>
        <color theme="1"/>
        <rFont val="Aptos Narrow"/>
        <family val="2"/>
        <scheme val="minor"/>
      </rPr>
      <t xml:space="preserve">: Raghu and Mouli's laptop has technical issues. The technical team receives the laptops at the same time. How will the technical team prioritize fix for whose laptop </t>
    </r>
  </si>
  <si>
    <t xml:space="preserve">Request Fulfillment, and its importance and how Access management/ Security Management  supports ITIL’s Framework. </t>
  </si>
  <si>
    <t>Some important concepts to look out for as you continue your IMTS journey : Verificiation, Validation, Security, Continous Improvement, Availability, Incident, SLA, OLA, Risk Management, Events, Alerts to name few.</t>
  </si>
  <si>
    <t>Access management</t>
  </si>
  <si>
    <t xml:space="preserve">
  Must be able to explain the importance of access management 
 Wrong consequences of improper access management, with examples (both Non IT and IT)
Access Management in the ITIL Service Lifecycle
Role of Access Management in ITIL 4
Relationship with Identity Management and Security Operations
Integration with ITIL Service Value Chain
Key Concepts of ITIL Access Management
What is Access Management?
Difference Between Access, Authentication, and Authorization
Principles of Least Privilege and Role-Based Access Control (RBAC)
Access Management Process Flow
Access Request Submission
Access Request Approval Workflow
Access Provisioning and Implementation
Access Monitoring and Auditing
Access Revocation and Expiry
Identity and Access Management (IAM) in ITIL
Role of IAM in Access Management
Single Sign-On (SSO) and Multi-Factor Authentication (MFA)
Privileged Access Management (PAM)
</t>
  </si>
  <si>
    <r>
      <rPr>
        <b/>
        <u/>
        <sz val="9"/>
        <color rgb="FF00B050"/>
        <rFont val="Aptos Narrow"/>
        <family val="2"/>
        <scheme val="minor"/>
      </rPr>
      <t>Scenario 1</t>
    </r>
    <r>
      <rPr>
        <sz val="9"/>
        <color theme="1"/>
        <rFont val="Aptos Narrow"/>
        <family val="2"/>
        <scheme val="minor"/>
      </rPr>
      <t xml:space="preserve">: You are very active on Facebook. You have created a very special profile picture. You dont want your friends to make changes to this. Can you prevent them? How? Your "friends" page has pictures from a recent outing. While there is nothing wrong with the pictures, some pictures you dont want your parents to see just yet.  Can you block them from seeing these pictures? How? </t>
    </r>
  </si>
  <si>
    <r>
      <rPr>
        <b/>
        <u/>
        <sz val="9"/>
        <color rgb="FF00B050"/>
        <rFont val="Aptos Narrow"/>
        <family val="2"/>
        <scheme val="minor"/>
      </rPr>
      <t>Scenario 2</t>
    </r>
    <r>
      <rPr>
        <sz val="9"/>
        <color theme="1"/>
        <rFont val="Aptos Narrow"/>
        <family val="2"/>
        <scheme val="minor"/>
      </rPr>
      <t>: Contents in your bank account is information confidential to you alone. How will your bank safeguard this information? What are the negative consequences if the bank does not manage this well?</t>
    </r>
  </si>
  <si>
    <r>
      <rPr>
        <b/>
        <u/>
        <sz val="9"/>
        <color rgb="FF00B050"/>
        <rFont val="Aptos Narrow"/>
        <family val="2"/>
        <scheme val="minor"/>
      </rPr>
      <t>Scenario 3</t>
    </r>
    <r>
      <rPr>
        <sz val="9"/>
        <color theme="1"/>
        <rFont val="Aptos Narrow"/>
        <family val="2"/>
        <scheme val="minor"/>
      </rPr>
      <t xml:space="preserve">: You are a database administrator and are setting up information folders for the finance team of your organization. Finance department has set the following folders: Money due to Mindtree, Payment due to vendors, Salary of all senior Mindtree Minds, Money due from customers. Sales team would like to have access to the folder "money due from customers". Database administrator has given all sales team members to all folders. Has the database administrator done the right thing? If you think not, why do you think so? </t>
    </r>
  </si>
  <si>
    <r>
      <rPr>
        <b/>
        <u/>
        <sz val="9"/>
        <color rgb="FF00B050"/>
        <rFont val="Aptos Narrow"/>
        <family val="2"/>
        <scheme val="minor"/>
      </rPr>
      <t>Scenario 4</t>
    </r>
    <r>
      <rPr>
        <sz val="9"/>
        <color theme="1"/>
        <rFont val="Aptos Narrow"/>
        <family val="2"/>
        <scheme val="minor"/>
      </rPr>
      <t>: You were part of project Mycart.com. You had unlimited access to all servers - windows, Unix and Linux servers. You are now out of Mycart.com project and are part of Flipkart.com project. Should you continue to have access to Mycart.com servers? If not, why not? What are the consequences of you continuing to have access to Mycart.com environment?</t>
    </r>
  </si>
  <si>
    <r>
      <rPr>
        <b/>
        <u/>
        <sz val="9"/>
        <color rgb="FF00B050"/>
        <rFont val="Aptos Narrow"/>
        <family val="2"/>
        <scheme val="minor"/>
      </rPr>
      <t>Scenario 5</t>
    </r>
    <r>
      <rPr>
        <sz val="9"/>
        <color theme="1"/>
        <rFont val="Aptos Narrow"/>
        <family val="2"/>
        <scheme val="minor"/>
      </rPr>
      <t>: Does access management impact availability in mycart.com. If yes, explain why? If no, explain why not?</t>
    </r>
  </si>
  <si>
    <t xml:space="preserve">Virtualization Basics </t>
  </si>
  <si>
    <t xml:space="preserve">Overview of Virtualization </t>
  </si>
  <si>
    <t xml:space="preserve">N/A </t>
  </si>
  <si>
    <t xml:space="preserve">Evolution of Virtualization and Vmware history </t>
  </si>
  <si>
    <t xml:space="preserve">Hypervisor basics </t>
  </si>
  <si>
    <t xml:space="preserve">Types of Virtualization </t>
  </si>
  <si>
    <t xml:space="preserve">Advantages and Disadvantages of Virtualization </t>
  </si>
  <si>
    <t xml:space="preserve">Hyperthreading and Memory virtualization overview </t>
  </si>
  <si>
    <t xml:space="preserve">Vmware products overview </t>
  </si>
  <si>
    <t xml:space="preserve">Installation and </t>
  </si>
  <si>
    <t xml:space="preserve">What is ESXi ?  Difference between ESX and ESXi </t>
  </si>
  <si>
    <t xml:space="preserve">Install and configure </t>
  </si>
  <si>
    <t xml:space="preserve">configuration of Vmware </t>
  </si>
  <si>
    <t xml:space="preserve">Interactive installation of ESXi </t>
  </si>
  <si>
    <t xml:space="preserve">ESXi </t>
  </si>
  <si>
    <t xml:space="preserve">ESXi 6.0 </t>
  </si>
  <si>
    <t xml:space="preserve">Licensing an ESXi host </t>
  </si>
  <si>
    <t xml:space="preserve">Connect ESXi using putty and vpshere console </t>
  </si>
  <si>
    <t xml:space="preserve">Configure NTP, DNS and routing in an ESXi host </t>
  </si>
  <si>
    <t xml:space="preserve">Lock down settings in </t>
  </si>
  <si>
    <t xml:space="preserve">Overview of Virtual Machine and Virtual Datacenter </t>
  </si>
  <si>
    <t xml:space="preserve">Tools used to connect ESXi and vpshere console connectivity </t>
  </si>
  <si>
    <t xml:space="preserve">Network settings and configuration in ESXi Browse all the directories and log files </t>
  </si>
  <si>
    <t xml:space="preserve">Vpshere tool </t>
  </si>
  <si>
    <t xml:space="preserve">Use of vpshere tools  </t>
  </si>
  <si>
    <t xml:space="preserve">Install and configure vsphere console </t>
  </si>
  <si>
    <t xml:space="preserve">Install vpshere tool and explore the features </t>
  </si>
  <si>
    <t xml:space="preserve">Vcenter server  6.0 </t>
  </si>
  <si>
    <t xml:space="preserve">Difference of Vcenter server editions </t>
  </si>
  <si>
    <t xml:space="preserve">Install and configure vcenter server </t>
  </si>
  <si>
    <t xml:space="preserve">Deploy Vcenter server </t>
  </si>
  <si>
    <t xml:space="preserve">View database settings Vcenters server services start/stop Install plugins  </t>
  </si>
  <si>
    <t xml:space="preserve">Size the vcenter server database </t>
  </si>
  <si>
    <t xml:space="preserve">Create datacenter and add ESXi host </t>
  </si>
  <si>
    <t xml:space="preserve">Connect to the vcenter using vpshere and web console  </t>
  </si>
  <si>
    <t xml:space="preserve">vSphere Networking </t>
  </si>
  <si>
    <t xml:space="preserve">Identify vnetwork standard switch capabilities </t>
  </si>
  <si>
    <t xml:space="preserve">Configure Standard switches </t>
  </si>
  <si>
    <t xml:space="preserve">Create/Delete standard switch </t>
  </si>
  <si>
    <t xml:space="preserve">Configure all network policies  </t>
  </si>
  <si>
    <t xml:space="preserve">Standard switch Vs Distributed switch </t>
  </si>
  <si>
    <t xml:space="preserve">Configure vNICs and </t>
  </si>
  <si>
    <t xml:space="preserve">Configure vmNiCs </t>
  </si>
  <si>
    <t xml:space="preserve">VLAN settings </t>
  </si>
  <si>
    <t xml:space="preserve">Configure vmkernel ports and port groups </t>
  </si>
  <si>
    <t xml:space="preserve">Configure VLAN settings </t>
  </si>
  <si>
    <t xml:space="preserve">Configure traffic shaping policies </t>
  </si>
  <si>
    <t xml:space="preserve">Loadbalancing and failover policies </t>
  </si>
  <si>
    <t xml:space="preserve">Vsphere Storage </t>
  </si>
  <si>
    <t xml:space="preserve">Datastore in Vmware </t>
  </si>
  <si>
    <t xml:space="preserve">Create Datastore Mount/Unmount datastore Extend/expand datastore </t>
  </si>
  <si>
    <t xml:space="preserve">Virtual storage file system VMFS3, VMFS5 etc.. </t>
  </si>
  <si>
    <t xml:space="preserve">Selecting path and disabling path </t>
  </si>
  <si>
    <t xml:space="preserve">Virtual disk formats and uses .vmdk, vmsn etc… </t>
  </si>
  <si>
    <t xml:space="preserve">Performing Datastore in </t>
  </si>
  <si>
    <t xml:space="preserve">Virtual disk thin and thick provisioning </t>
  </si>
  <si>
    <t xml:space="preserve">Maintenance mode </t>
  </si>
  <si>
    <t xml:space="preserve">Storage adapters and devices </t>
  </si>
  <si>
    <t xml:space="preserve">Scan and Rescan storage </t>
  </si>
  <si>
    <t xml:space="preserve">Zoning and LUN masking practices </t>
  </si>
  <si>
    <t xml:space="preserve">Use case for FCoE and iSCSI </t>
  </si>
  <si>
    <t xml:space="preserve">Configure iSCSI initiator </t>
  </si>
  <si>
    <t xml:space="preserve">Virtual Machine Management  </t>
  </si>
  <si>
    <t xml:space="preserve">Virtual Machine Hardware version </t>
  </si>
  <si>
    <t xml:space="preserve">Create Virtual machine  Configure VM resource settings (CPU, Disk and </t>
  </si>
  <si>
    <t xml:space="preserve">Creation of Virtual machine </t>
  </si>
  <si>
    <t xml:space="preserve">Memory) </t>
  </si>
  <si>
    <t xml:space="preserve">Different ways of deploying virtual machines </t>
  </si>
  <si>
    <t xml:space="preserve">Install Guest OS on VMs </t>
  </si>
  <si>
    <t xml:space="preserve">Configure guest OS into a virtual machines </t>
  </si>
  <si>
    <t xml:space="preserve">Create template  </t>
  </si>
  <si>
    <t xml:space="preserve">Configure vmware tools </t>
  </si>
  <si>
    <t xml:space="preserve">Create clone of a VM </t>
  </si>
  <si>
    <t xml:space="preserve">Configuring virtual disk types </t>
  </si>
  <si>
    <t xml:space="preserve">Install Vmware tools Snapshot creation and consolidation </t>
  </si>
  <si>
    <t xml:space="preserve">Explore Virtual disk formats and uses .vmdk, vmsn etc… </t>
  </si>
  <si>
    <t xml:space="preserve">Modify the CPU, memory settings for a virtual machine </t>
  </si>
  <si>
    <t xml:space="preserve">Templates and clones </t>
  </si>
  <si>
    <t xml:space="preserve">Deploy virtual machines from a template </t>
  </si>
  <si>
    <t xml:space="preserve">Snapshots and snapshot management </t>
  </si>
  <si>
    <t xml:space="preserve">Consolidation of snapshots </t>
  </si>
  <si>
    <t xml:space="preserve">Vsphere High Availability </t>
  </si>
  <si>
    <t xml:space="preserve">Vsphere High Availability features </t>
  </si>
  <si>
    <t xml:space="preserve">Creation of cluster and adding ESXi and VMs in </t>
  </si>
  <si>
    <t xml:space="preserve">Vsphere HA Failure scenarios </t>
  </si>
  <si>
    <t xml:space="preserve">Cluster </t>
  </si>
  <si>
    <t xml:space="preserve">Vsphere HA architecture and cluster creation </t>
  </si>
  <si>
    <t xml:space="preserve">Configure HA and DRS Perform vmotion and storage vmotion Create FT for VMs </t>
  </si>
  <si>
    <t xml:space="preserve">Vsphere DRS features </t>
  </si>
  <si>
    <t xml:space="preserve">Migration: Vmotion and types of vmotion </t>
  </si>
  <si>
    <t xml:space="preserve">Vsphere Fault tolerance </t>
  </si>
  <si>
    <t xml:space="preserve">Vpshere Replication and its related concepts </t>
  </si>
  <si>
    <t xml:space="preserve">Access contol and Resource monitoring </t>
  </si>
  <si>
    <t xml:space="preserve">ESXi host access and authentication </t>
  </si>
  <si>
    <t xml:space="preserve">Configure roles and permissions </t>
  </si>
  <si>
    <t xml:space="preserve">Users and Groups </t>
  </si>
  <si>
    <t xml:space="preserve">Steps to integrate with </t>
  </si>
  <si>
    <t xml:space="preserve">Roles and permissions in Vcenter server </t>
  </si>
  <si>
    <t xml:space="preserve">AD </t>
  </si>
  <si>
    <t xml:space="preserve">Alarms  </t>
  </si>
  <si>
    <t xml:space="preserve">Create/ Acknowledge </t>
  </si>
  <si>
    <t xml:space="preserve">Shares, limits and reservations </t>
  </si>
  <si>
    <t xml:space="preserve">Alarms </t>
  </si>
  <si>
    <t xml:space="preserve">vApps </t>
  </si>
  <si>
    <r>
      <rPr>
        <sz val="11"/>
        <color rgb="FF000000"/>
        <rFont val="Aptos Narrow"/>
        <family val="2"/>
        <scheme val="minor"/>
      </rPr>
      <t>Creation of shares and resource pools</t>
    </r>
    <r>
      <rPr>
        <vertAlign val="subscript"/>
        <sz val="17"/>
        <color rgb="FF000000"/>
        <rFont val="Aptos Narrow"/>
        <family val="2"/>
        <scheme val="minor"/>
      </rPr>
      <t xml:space="preserve">  </t>
    </r>
    <r>
      <rPr>
        <sz val="11"/>
        <color rgb="FF000000"/>
        <rFont val="Aptos Narrow"/>
        <family val="2"/>
        <scheme val="minor"/>
      </rPr>
      <t xml:space="preserve"> </t>
    </r>
  </si>
  <si>
    <t xml:space="preserve">Resource pools  </t>
  </si>
  <si>
    <t xml:space="preserve">Monitoring resource usage </t>
  </si>
  <si>
    <t xml:space="preserve"> </t>
  </si>
  <si>
    <r>
      <t xml:space="preserve">Build a topology and create Multiple VLANs 
Append the topology with a </t>
    </r>
    <r>
      <rPr>
        <sz val="10"/>
        <color rgb="FFFF0000"/>
        <rFont val="Aptos Narrow"/>
        <family val="2"/>
        <scheme val="minor"/>
      </rPr>
      <t>Cisco</t>
    </r>
    <r>
      <rPr>
        <sz val="10"/>
        <rFont val="Aptos Narrow"/>
        <family val="2"/>
        <scheme val="minor"/>
      </rPr>
      <t xml:space="preserve"> router and L3 switch to demonstrate Intervlan Routing</t>
    </r>
  </si>
  <si>
    <r>
      <t xml:space="preserve">1. 802.1d(Spanning Tree Protocol)
2. Complete process of Identifying port states
3. RSTP, </t>
    </r>
    <r>
      <rPr>
        <sz val="10"/>
        <color theme="1"/>
        <rFont val="Aptos Narrow"/>
        <family val="2"/>
        <scheme val="minor"/>
      </rPr>
      <t>PVSTP, MST, PVSTP+(only theory)
4. Port fast(only Theory)</t>
    </r>
    <r>
      <rPr>
        <sz val="10"/>
        <rFont val="Aptos Narrow"/>
        <family val="2"/>
        <scheme val="minor"/>
      </rPr>
      <t xml:space="preserve">
4.Troubleshooting STP related Issues</t>
    </r>
  </si>
  <si>
    <r>
      <t xml:space="preserve">1. Configuring Port Security
</t>
    </r>
    <r>
      <rPr>
        <sz val="10"/>
        <color rgb="FFFF0000"/>
        <rFont val="Aptos Narrow"/>
        <family val="2"/>
        <scheme val="minor"/>
      </rPr>
      <t xml:space="preserve">    </t>
    </r>
    <r>
      <rPr>
        <sz val="10"/>
        <rFont val="Aptos Narrow"/>
        <family val="2"/>
        <scheme val="minor"/>
      </rPr>
      <t xml:space="preserve">                                                                                              </t>
    </r>
  </si>
  <si>
    <r>
      <t xml:space="preserve">1. Confiuring RIP Routing protocol and Advertising networks
2. AD, Metric of RIP, Timers
</t>
    </r>
    <r>
      <rPr>
        <sz val="10"/>
        <color theme="1"/>
        <rFont val="Aptos Narrow"/>
        <family val="2"/>
        <scheme val="minor"/>
      </rPr>
      <t>3. Loop avoidance mechanism in RIP
                 -Split Horizon
                 -Poison Reverse</t>
    </r>
    <r>
      <rPr>
        <sz val="10"/>
        <rFont val="Aptos Narrow"/>
        <family val="2"/>
        <scheme val="minor"/>
      </rPr>
      <t xml:space="preserve">
4. Summarization of Routes
5.Authentication for Routing updates 
6.Troubleshooting RIP Related Issues                                                                                                     </t>
    </r>
  </si>
  <si>
    <r>
      <t xml:space="preserve">1. Configuring OSPF Routing protocol and Advertising networks
2. Process ID , Areas in OSPF
3. Path selection in OSPF
</t>
    </r>
    <r>
      <rPr>
        <sz val="10"/>
        <color theme="1"/>
        <rFont val="Aptos Narrow"/>
        <family val="2"/>
        <scheme val="minor"/>
      </rPr>
      <t>4. LSA types(Basic Information)</t>
    </r>
    <r>
      <rPr>
        <sz val="10"/>
        <rFont val="Aptos Narrow"/>
        <family val="2"/>
        <scheme val="minor"/>
      </rPr>
      <t xml:space="preserve">
5. OSPF Authentication
6. Summarization
7. DR &amp; BDR election  
8.Troubleshooting OSPF Related Issues                                                         </t>
    </r>
  </si>
  <si>
    <r>
      <t>1. Introduction to IPv6
2. Types of Addresses in IPv6</t>
    </r>
    <r>
      <rPr>
        <sz val="10"/>
        <color theme="1"/>
        <rFont val="Aptos Narrow"/>
        <family val="2"/>
        <scheme val="minor"/>
      </rPr>
      <t>(Only Theory)</t>
    </r>
  </si>
  <si>
    <r>
      <t xml:space="preserve">Install &amp; Configure DHCP Server ,DHCP backup and restore
</t>
    </r>
    <r>
      <rPr>
        <b/>
        <i/>
        <sz val="10"/>
        <color theme="1"/>
        <rFont val="Aptos Narrow"/>
        <family val="2"/>
        <scheme val="minor"/>
      </rPr>
      <t>Assignment:
1. Take backup using netsh utility
2. Identify practical applications of Superscope
3. How to exclude IP address under DHCP scope
4. How to reserve an IP address 
5. Identify the process responsible for DHCP service</t>
    </r>
  </si>
  <si>
    <r>
      <t xml:space="preserve">Install 7 configure File servers,Configure DFS,Configure FSRM(File screening,quotas) Collect Storage Reports
</t>
    </r>
    <r>
      <rPr>
        <b/>
        <i/>
        <sz val="10"/>
        <color theme="1"/>
        <rFont val="Aptos Narrow"/>
        <family val="2"/>
        <scheme val="minor"/>
      </rPr>
      <t>Assignment:</t>
    </r>
    <r>
      <rPr>
        <i/>
        <sz val="10"/>
        <color theme="1"/>
        <rFont val="Aptos Narrow"/>
        <family val="2"/>
        <scheme val="minor"/>
      </rPr>
      <t xml:space="preserve">
1. Establish file screening for .exe files
2. Difference b/w FRS and DFS
3. Protocols used for File share and port numbers
4. View shares accessed by users using command line
5. How DFS replication works
6. Manage permissions of files</t>
    </r>
  </si>
  <si>
    <t>Onboarding</t>
  </si>
  <si>
    <t>Induction program + Laptop distripution + Profile Interview</t>
  </si>
  <si>
    <t>Laptop Distribution + Profile Interview +  CEFR Orientation + Mock CEFR</t>
  </si>
  <si>
    <t>Pre CEFR</t>
  </si>
  <si>
    <t>Technical presentation SS Observation -1 (Windows)</t>
  </si>
  <si>
    <t>Maha Navami</t>
  </si>
  <si>
    <t>Gandhi Jayanti</t>
  </si>
  <si>
    <t>SS (09:00AM to 10:30AM) + Networks</t>
  </si>
  <si>
    <t>SS (5:00 PM to 6:30 PM) + Networks</t>
  </si>
  <si>
    <t>Milestone 1 preparation + Mock 2 (Windows + Networks)</t>
  </si>
  <si>
    <t>Milestone 1 - 1st attempt (Windows + Networks)</t>
  </si>
  <si>
    <t>SS (5:00 PM to 6:30 PM) + PowerShell</t>
  </si>
  <si>
    <t>Diwali @ BBSR</t>
  </si>
  <si>
    <t>Technical Presentation 2 - SS Observation (PowerShell + Azure)</t>
  </si>
  <si>
    <t>SS (09:00AM to 10:30AM) + DevOps</t>
  </si>
  <si>
    <t>SS (09:00AM to 10:30AM) + ITIL</t>
  </si>
  <si>
    <t xml:space="preserve">Virtualization </t>
  </si>
  <si>
    <t>Milestone 3 Preparation &amp; Milestone Assessment
(DevOps+ITIL+Virtualization)</t>
  </si>
  <si>
    <t>HR &amp; WFM Connect</t>
  </si>
  <si>
    <t>Important Milestone</t>
  </si>
  <si>
    <t>Weekly Assessment 1 (Windows)</t>
  </si>
  <si>
    <t>Weekly Assessment 2 
(Networks)</t>
  </si>
  <si>
    <t>Mock Assessment 1 (Windows + Networks)</t>
  </si>
  <si>
    <t>Weekly Assessment 3 (PowerShell)</t>
  </si>
  <si>
    <t>Mock Assessment 1 (PowerShell+Azure)</t>
  </si>
  <si>
    <t>Weekly Assessment 4 (DevOps + ITIL)</t>
  </si>
  <si>
    <t>Mock Assessment 1 (DevOps+ITIL+VMWare)</t>
  </si>
  <si>
    <t>17th Sep - FY26 CIS MT B5.2 Windows Track</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</si>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</sst>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4009]dddd\,\ d\ mmmm\,\ yyyy;@"/>
    <numFmt numFmtId="166" formatCode="[$-F800]dddd\,\ mmmm\ dd\,\ yyyy"/>
  </numFmts>
  <fonts count="60" x14ac:knownFonts="1">
    <font>
      <sz val="11"/>
      <color theme="1"/>
      <name val="Aptos Narrow"/>
      <charset val="134"/>
      <scheme val="minor"/>
    </font>
    <font>
      <sz val="11"/>
      <color theme="1"/>
      <name val="Aptos Narrow"/>
      <family val="2"/>
      <scheme val="minor"/>
    </font>
    <font>
      <b/>
      <sz val="11"/>
      <color theme="1"/>
      <name val="Aptos Narrow"/>
      <family val="2"/>
      <scheme val="minor"/>
    </font>
    <font>
      <b/>
      <u/>
      <sz val="14"/>
      <color theme="1"/>
      <name val="Arial Nova"/>
      <family val="2"/>
    </font>
    <font>
      <b/>
      <sz val="11"/>
      <color theme="0"/>
      <name val="Aptos Narrow"/>
      <family val="2"/>
      <scheme val="minor"/>
    </font>
    <font>
      <sz val="11"/>
      <color rgb="FF000000"/>
      <name val="Aptos Narrow"/>
      <family val="2"/>
      <scheme val="minor"/>
    </font>
    <font>
      <b/>
      <sz val="14"/>
      <color rgb="FF000000"/>
      <name val="Aptos Narrow"/>
      <family val="2"/>
      <scheme val="minor"/>
    </font>
    <font>
      <b/>
      <sz val="20"/>
      <name val="Aptos Narrow"/>
      <family val="2"/>
      <scheme val="minor"/>
    </font>
    <font>
      <b/>
      <sz val="11"/>
      <name val="Aptos Narrow"/>
      <family val="2"/>
      <scheme val="minor"/>
    </font>
    <font>
      <sz val="9"/>
      <color theme="1"/>
      <name val="Aptos Narrow"/>
      <family val="2"/>
      <scheme val="minor"/>
    </font>
    <font>
      <b/>
      <sz val="9"/>
      <name val="Aptos Narrow"/>
      <family val="2"/>
      <scheme val="minor"/>
    </font>
    <font>
      <sz val="9"/>
      <color theme="5" tint="-0.249977111117893"/>
      <name val="Aptos Narrow"/>
      <family val="2"/>
      <scheme val="minor"/>
    </font>
    <font>
      <b/>
      <sz val="9"/>
      <color theme="1"/>
      <name val="Aptos Narrow"/>
      <family val="2"/>
      <scheme val="minor"/>
    </font>
    <font>
      <b/>
      <sz val="8"/>
      <name val="Aptos Narrow"/>
      <family val="2"/>
      <scheme val="minor"/>
    </font>
    <font>
      <sz val="8"/>
      <color theme="1"/>
      <name val="Aptos Narrow"/>
      <family val="2"/>
      <scheme val="minor"/>
    </font>
    <font>
      <b/>
      <sz val="11"/>
      <color rgb="FF1F497D"/>
      <name val="Aptos Narrow"/>
      <family val="2"/>
      <scheme val="minor"/>
    </font>
    <font>
      <b/>
      <sz val="10"/>
      <name val="Aptos Narrow"/>
      <family val="2"/>
      <scheme val="minor"/>
    </font>
    <font>
      <sz val="10"/>
      <color theme="1"/>
      <name val="Aptos Narrow"/>
      <family val="2"/>
      <scheme val="minor"/>
    </font>
    <font>
      <sz val="10"/>
      <color theme="5" tint="-0.249977111117893"/>
      <name val="Aptos Narrow"/>
      <family val="2"/>
      <scheme val="minor"/>
    </font>
    <font>
      <b/>
      <sz val="16"/>
      <color theme="0"/>
      <name val="Aptos Narrow"/>
      <family val="2"/>
      <scheme val="minor"/>
    </font>
    <font>
      <b/>
      <sz val="16"/>
      <name val="Aptos Narrow"/>
      <family val="2"/>
      <scheme val="minor"/>
    </font>
    <font>
      <sz val="16"/>
      <color theme="1"/>
      <name val="Aptos Narrow"/>
      <family val="2"/>
      <scheme val="minor"/>
    </font>
    <font>
      <sz val="16"/>
      <name val="Aptos Narrow"/>
      <family val="2"/>
      <scheme val="minor"/>
    </font>
    <font>
      <b/>
      <sz val="16"/>
      <color theme="1"/>
      <name val="Aptos Narrow"/>
      <family val="2"/>
      <scheme val="minor"/>
    </font>
    <font>
      <b/>
      <sz val="14"/>
      <name val="Aptos Narrow"/>
      <family val="2"/>
      <scheme val="minor"/>
    </font>
    <font>
      <b/>
      <sz val="14"/>
      <color theme="1"/>
      <name val="Aptos Narrow"/>
      <family val="2"/>
      <scheme val="minor"/>
    </font>
    <font>
      <b/>
      <sz val="12"/>
      <color theme="0"/>
      <name val="Aptos Narrow"/>
      <family val="2"/>
      <scheme val="minor"/>
    </font>
    <font>
      <sz val="11"/>
      <name val="Aptos Narrow"/>
      <family val="2"/>
      <scheme val="minor"/>
    </font>
    <font>
      <sz val="10"/>
      <name val="Aptos Narrow"/>
      <family val="2"/>
      <scheme val="minor"/>
    </font>
    <font>
      <sz val="10"/>
      <color theme="1"/>
      <name val="Calibri"/>
      <family val="2"/>
    </font>
    <font>
      <sz val="11"/>
      <color rgb="FF006100"/>
      <name val="Aptos Narrow"/>
      <family val="2"/>
      <scheme val="minor"/>
    </font>
    <font>
      <sz val="10"/>
      <name val="Arial"/>
      <family val="2"/>
    </font>
    <font>
      <b/>
      <u/>
      <sz val="9"/>
      <color rgb="FF00B050"/>
      <name val="Aptos Narrow"/>
      <family val="2"/>
      <scheme val="minor"/>
    </font>
    <font>
      <u/>
      <sz val="9"/>
      <color theme="1"/>
      <name val="Aptos Narrow"/>
      <family val="2"/>
      <scheme val="minor"/>
    </font>
    <font>
      <b/>
      <u/>
      <sz val="10"/>
      <color rgb="FF00B050"/>
      <name val="Aptos Narrow"/>
      <family val="2"/>
      <scheme val="minor"/>
    </font>
    <font>
      <b/>
      <u/>
      <sz val="9"/>
      <color theme="1"/>
      <name val="Aptos Narrow"/>
      <family val="2"/>
      <scheme val="minor"/>
    </font>
    <font>
      <b/>
      <sz val="9"/>
      <color rgb="FF00B050"/>
      <name val="Aptos Narrow"/>
      <family val="2"/>
      <scheme val="minor"/>
    </font>
    <font>
      <b/>
      <u/>
      <sz val="9"/>
      <color theme="9" tint="-0.249977111117893"/>
      <name val="Aptos Narrow"/>
      <family val="2"/>
      <scheme val="minor"/>
    </font>
    <font>
      <sz val="9"/>
      <color theme="9" tint="-0.249977111117893"/>
      <name val="Aptos Narrow"/>
      <family val="2"/>
      <scheme val="minor"/>
    </font>
    <font>
      <sz val="9"/>
      <color rgb="FF00B050"/>
      <name val="Aptos Narrow"/>
      <family val="2"/>
      <scheme val="minor"/>
    </font>
    <font>
      <b/>
      <sz val="9"/>
      <color theme="9" tint="-0.249977111117893"/>
      <name val="Aptos Narrow"/>
      <family val="2"/>
      <scheme val="minor"/>
    </font>
    <font>
      <b/>
      <u/>
      <sz val="8"/>
      <color rgb="FF00B050"/>
      <name val="Aptos Narrow"/>
      <family val="2"/>
      <scheme val="minor"/>
    </font>
    <font>
      <vertAlign val="subscript"/>
      <sz val="17"/>
      <color rgb="FF000000"/>
      <name val="Aptos Narrow"/>
      <family val="2"/>
      <scheme val="minor"/>
    </font>
    <font>
      <b/>
      <sz val="10"/>
      <color rgb="FF00B050"/>
      <name val="Aptos Narrow"/>
      <family val="2"/>
      <scheme val="minor"/>
    </font>
    <font>
      <sz val="10"/>
      <color theme="0"/>
      <name val="Calibri"/>
      <family val="2"/>
    </font>
    <font>
      <b/>
      <sz val="10"/>
      <color theme="0"/>
      <name val="Calibri"/>
      <family val="2"/>
    </font>
    <font>
      <sz val="10"/>
      <color rgb="FFFF0000"/>
      <name val="Calibri"/>
      <family val="2"/>
    </font>
    <font>
      <sz val="10"/>
      <name val="Aptos Narrow"/>
      <family val="2"/>
      <scheme val="minor"/>
    </font>
    <font>
      <b/>
      <u/>
      <sz val="10"/>
      <color theme="1"/>
      <name val="Arial Nova"/>
      <family val="2"/>
    </font>
    <font>
      <b/>
      <sz val="10"/>
      <color theme="0"/>
      <name val="Aptos Narrow"/>
      <family val="2"/>
      <scheme val="minor"/>
    </font>
    <font>
      <b/>
      <sz val="10"/>
      <color theme="1"/>
      <name val="Aptos Narrow"/>
      <family val="2"/>
      <scheme val="minor"/>
    </font>
    <font>
      <b/>
      <sz val="10"/>
      <name val="Aptos Narrow"/>
      <family val="2"/>
      <scheme val="minor"/>
    </font>
    <font>
      <sz val="10"/>
      <color theme="1"/>
      <name val="Aptos Narrow"/>
      <family val="2"/>
      <scheme val="minor"/>
    </font>
    <font>
      <sz val="10"/>
      <color rgb="FFFF0000"/>
      <name val="Aptos Narrow"/>
      <family val="2"/>
      <scheme val="minor"/>
    </font>
    <font>
      <sz val="10"/>
      <color rgb="FF000000"/>
      <name val="Aptos Narrow"/>
      <family val="2"/>
      <scheme val="minor"/>
    </font>
    <font>
      <b/>
      <i/>
      <sz val="10"/>
      <color theme="1"/>
      <name val="Aptos Narrow"/>
      <family val="2"/>
      <scheme val="minor"/>
    </font>
    <font>
      <i/>
      <sz val="10"/>
      <color theme="1"/>
      <name val="Aptos Narrow"/>
      <family val="2"/>
      <scheme val="minor"/>
    </font>
    <font>
      <b/>
      <sz val="10"/>
      <color rgb="FF222222"/>
      <name val="Aptos Narrow"/>
      <family val="2"/>
      <scheme val="minor"/>
    </font>
    <font>
      <sz val="10"/>
      <name val="Tahoma"/>
      <family val="2"/>
    </font>
    <font>
      <b/>
      <sz val="11"/>
      <color theme="0"/>
      <name val="Calibri"/>
      <family val="2"/>
    </font>
  </fonts>
  <fills count="20">
    <fill>
      <patternFill patternType="none"/>
    </fill>
    <fill>
      <patternFill patternType="gray125"/>
    </fill>
    <fill>
      <patternFill patternType="solid">
        <fgColor theme="9" tint="0.59999389629810485"/>
        <bgColor indexed="64"/>
      </patternFill>
    </fill>
    <fill>
      <patternFill patternType="solid">
        <fgColor rgb="FF0070C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3" tint="0.79995117038483843"/>
        <bgColor indexed="64"/>
      </patternFill>
    </fill>
    <fill>
      <patternFill patternType="solid">
        <fgColor theme="0"/>
        <bgColor indexed="64"/>
      </patternFill>
    </fill>
    <fill>
      <patternFill patternType="solid">
        <fgColor theme="9" tint="0.79995117038483843"/>
        <bgColor indexed="64"/>
      </patternFill>
    </fill>
    <fill>
      <patternFill patternType="solid">
        <fgColor theme="4" tint="0.39994506668294322"/>
        <bgColor indexed="64"/>
      </patternFill>
    </fill>
    <fill>
      <patternFill patternType="solid">
        <fgColor theme="4" tint="0.79995117038483843"/>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7" tint="0.3999450666829432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rgb="FFFFFF00"/>
        <bgColor indexed="64"/>
      </patternFill>
    </fill>
    <fill>
      <patternFill patternType="solid">
        <fgColor rgb="FF92D050"/>
        <bgColor indexed="64"/>
      </patternFill>
    </fill>
    <fill>
      <patternFill patternType="solid">
        <fgColor rgb="FFC6EFCE"/>
        <bgColor indexed="64"/>
      </patternFill>
    </fill>
    <fill>
      <patternFill patternType="solid">
        <fgColor rgb="FF7030A0"/>
        <bgColor indexed="64"/>
      </patternFill>
    </fill>
  </fills>
  <borders count="5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style="medium">
        <color auto="1"/>
      </bottom>
      <diagonal/>
    </border>
    <border>
      <left style="thin">
        <color auto="1"/>
      </left>
      <right/>
      <top/>
      <bottom/>
      <diagonal/>
    </border>
    <border>
      <left style="thin">
        <color auto="1"/>
      </left>
      <right/>
      <top/>
      <bottom style="medium">
        <color auto="1"/>
      </bottom>
      <diagonal/>
    </border>
    <border>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right/>
      <top style="thin">
        <color auto="1"/>
      </top>
      <bottom style="thin">
        <color auto="1"/>
      </bottom>
      <diagonal/>
    </border>
    <border>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4">
    <xf numFmtId="0" fontId="0" fillId="0" borderId="0"/>
    <xf numFmtId="0" fontId="30" fillId="18" borderId="0" applyNumberFormat="0" applyBorder="0" applyAlignment="0" applyProtection="0"/>
    <xf numFmtId="0" fontId="31" fillId="0" borderId="0"/>
    <xf numFmtId="0" fontId="1" fillId="0" borderId="0"/>
  </cellStyleXfs>
  <cellXfs count="418">
    <xf numFmtId="0" fontId="0" fillId="0" borderId="0" xfId="0"/>
    <xf numFmtId="0" fontId="0" fillId="0" borderId="0" xfId="0" applyAlignment="1">
      <alignment wrapText="1"/>
    </xf>
    <xf numFmtId="0" fontId="0" fillId="0" borderId="0" xfId="0" applyAlignment="1">
      <alignment horizontal="center" vertical="center" wrapText="1"/>
    </xf>
    <xf numFmtId="0" fontId="2" fillId="0" borderId="0" xfId="0" applyFont="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horizontal="justify" vertical="center" wrapText="1"/>
    </xf>
    <xf numFmtId="0" fontId="5" fillId="0" borderId="13" xfId="0" applyFont="1" applyBorder="1" applyAlignment="1">
      <alignment horizontal="left" vertical="center" wrapText="1"/>
    </xf>
    <xf numFmtId="0" fontId="0" fillId="0" borderId="12" xfId="0" applyBorder="1" applyAlignment="1">
      <alignment vertical="top" wrapText="1"/>
    </xf>
    <xf numFmtId="0" fontId="0" fillId="0" borderId="12" xfId="0" applyBorder="1" applyAlignment="1">
      <alignment horizontal="center" vertical="center" wrapText="1"/>
    </xf>
    <xf numFmtId="0" fontId="2" fillId="0" borderId="12" xfId="0" applyFont="1" applyBorder="1" applyAlignment="1">
      <alignment horizontal="center" vertical="center" wrapText="1"/>
    </xf>
    <xf numFmtId="0" fontId="0" fillId="0" borderId="13" xfId="0" applyBorder="1" applyAlignment="1">
      <alignment vertical="top" wrapText="1"/>
    </xf>
    <xf numFmtId="0" fontId="6" fillId="0" borderId="11" xfId="0" applyFont="1" applyBorder="1" applyAlignment="1">
      <alignment horizontal="left" vertical="center"/>
    </xf>
    <xf numFmtId="0" fontId="0" fillId="0" borderId="12" xfId="0" applyBorder="1"/>
    <xf numFmtId="0" fontId="0" fillId="0" borderId="13" xfId="0" applyBorder="1" applyAlignment="1">
      <alignment wrapText="1"/>
    </xf>
    <xf numFmtId="0" fontId="5" fillId="0" borderId="13" xfId="0" applyFont="1" applyBorder="1" applyAlignment="1">
      <alignment horizontal="justify" vertical="center" wrapText="1"/>
    </xf>
    <xf numFmtId="0" fontId="5" fillId="0" borderId="17" xfId="0" applyFont="1" applyBorder="1" applyAlignment="1">
      <alignment horizontal="left" vertical="center" wrapText="1"/>
    </xf>
    <xf numFmtId="0" fontId="0" fillId="0" borderId="18" xfId="0" applyBorder="1" applyAlignment="1">
      <alignment vertical="top" wrapText="1"/>
    </xf>
    <xf numFmtId="0" fontId="5" fillId="0" borderId="0" xfId="0" applyFont="1" applyAlignment="1">
      <alignment horizontal="justify" vertical="center"/>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0"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center"/>
    </xf>
    <xf numFmtId="0" fontId="2" fillId="0" borderId="0" xfId="0" applyFont="1" applyAlignment="1">
      <alignment wrapText="1"/>
    </xf>
    <xf numFmtId="0" fontId="0" fillId="0" borderId="0" xfId="0" applyAlignment="1">
      <alignment horizontal="center" vertical="center"/>
    </xf>
    <xf numFmtId="0" fontId="8" fillId="6" borderId="8" xfId="0" applyFont="1" applyFill="1" applyBorder="1" applyAlignment="1">
      <alignment vertical="center"/>
    </xf>
    <xf numFmtId="0" fontId="8" fillId="6" borderId="6" xfId="1" applyFont="1" applyFill="1" applyBorder="1" applyAlignment="1">
      <alignment vertical="center" wrapText="1"/>
    </xf>
    <xf numFmtId="0" fontId="11" fillId="8" borderId="12" xfId="1" applyFont="1" applyFill="1" applyBorder="1" applyAlignment="1">
      <alignment vertical="center" wrapText="1"/>
    </xf>
    <xf numFmtId="0" fontId="12" fillId="0" borderId="12" xfId="0" applyFont="1" applyBorder="1" applyAlignment="1">
      <alignment vertical="center" wrapText="1"/>
    </xf>
    <xf numFmtId="0" fontId="9" fillId="0" borderId="12" xfId="0" applyFont="1" applyBorder="1" applyAlignment="1">
      <alignment vertical="center" wrapText="1"/>
    </xf>
    <xf numFmtId="0" fontId="9" fillId="0" borderId="12" xfId="0" applyFont="1" applyBorder="1" applyAlignment="1">
      <alignment vertical="center"/>
    </xf>
    <xf numFmtId="0" fontId="0" fillId="0" borderId="12" xfId="0" applyBorder="1" applyAlignment="1">
      <alignment horizontal="center" vertical="center"/>
    </xf>
    <xf numFmtId="0" fontId="0" fillId="0" borderId="24" xfId="0" applyBorder="1" applyAlignment="1">
      <alignment horizontal="center" vertical="center"/>
    </xf>
    <xf numFmtId="0" fontId="10" fillId="7" borderId="12" xfId="0" applyFont="1" applyFill="1" applyBorder="1" applyAlignment="1">
      <alignment horizontal="center" vertical="center" wrapText="1"/>
    </xf>
    <xf numFmtId="0" fontId="9" fillId="0" borderId="12" xfId="0" applyFont="1" applyBorder="1" applyAlignment="1">
      <alignment horizontal="left" vertical="top" wrapText="1"/>
    </xf>
    <xf numFmtId="0" fontId="11" fillId="8" borderId="12" xfId="0" applyFont="1" applyFill="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left" vertical="center" wrapText="1"/>
    </xf>
    <xf numFmtId="0" fontId="11" fillId="8" borderId="12" xfId="0" applyFont="1" applyFill="1" applyBorder="1" applyAlignment="1">
      <alignment vertical="center" wrapText="1"/>
    </xf>
    <xf numFmtId="0" fontId="9" fillId="7" borderId="12" xfId="0" applyFont="1" applyFill="1" applyBorder="1" applyAlignment="1">
      <alignment horizontal="left" vertical="top" wrapText="1"/>
    </xf>
    <xf numFmtId="0" fontId="11" fillId="8" borderId="12" xfId="0" applyFont="1" applyFill="1" applyBorder="1" applyAlignment="1">
      <alignment horizontal="left" vertical="top" wrapText="1"/>
    </xf>
    <xf numFmtId="0" fontId="15" fillId="0" borderId="12" xfId="0" applyFont="1" applyBorder="1" applyAlignment="1">
      <alignment vertical="center" wrapText="1"/>
    </xf>
    <xf numFmtId="0" fontId="9" fillId="7" borderId="12" xfId="0" applyFont="1" applyFill="1" applyBorder="1" applyAlignment="1">
      <alignment horizontal="left" vertical="top"/>
    </xf>
    <xf numFmtId="0" fontId="11" fillId="8" borderId="12" xfId="0" applyFont="1" applyFill="1" applyBorder="1" applyAlignment="1">
      <alignment vertical="top" wrapText="1"/>
    </xf>
    <xf numFmtId="0" fontId="9" fillId="7" borderId="12" xfId="0" applyFont="1" applyFill="1" applyBorder="1" applyAlignment="1">
      <alignment vertical="top" wrapText="1"/>
    </xf>
    <xf numFmtId="0" fontId="18" fillId="8" borderId="12" xfId="0" applyFont="1" applyFill="1" applyBorder="1" applyAlignment="1">
      <alignment vertical="top" wrapText="1"/>
    </xf>
    <xf numFmtId="0" fontId="17" fillId="7" borderId="12" xfId="0" applyFont="1" applyFill="1" applyBorder="1" applyAlignment="1">
      <alignment vertical="top" wrapText="1"/>
    </xf>
    <xf numFmtId="0" fontId="0" fillId="0" borderId="12" xfId="0" applyBorder="1" applyAlignment="1">
      <alignment vertical="center"/>
    </xf>
    <xf numFmtId="0" fontId="12" fillId="0" borderId="10" xfId="0" applyFont="1" applyBorder="1" applyAlignment="1">
      <alignment vertical="center" wrapText="1"/>
    </xf>
    <xf numFmtId="0" fontId="9" fillId="0" borderId="12" xfId="0" applyFont="1" applyBorder="1" applyAlignment="1">
      <alignment wrapText="1"/>
    </xf>
    <xf numFmtId="0" fontId="9" fillId="0" borderId="17" xfId="0" applyFont="1" applyBorder="1" applyAlignment="1">
      <alignment wrapText="1"/>
    </xf>
    <xf numFmtId="0" fontId="2" fillId="4" borderId="19" xfId="0" applyFont="1" applyFill="1" applyBorder="1" applyAlignment="1">
      <alignment horizontal="center"/>
    </xf>
    <xf numFmtId="0" fontId="2" fillId="4" borderId="33" xfId="0" applyFont="1" applyFill="1" applyBorder="1" applyAlignment="1">
      <alignment horizontal="center" vertical="center"/>
    </xf>
    <xf numFmtId="0" fontId="2" fillId="4" borderId="0" xfId="0" applyFont="1" applyFill="1"/>
    <xf numFmtId="0" fontId="2" fillId="4" borderId="34"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0" fillId="0" borderId="12" xfId="0" applyBorder="1" applyAlignment="1">
      <alignment wrapText="1"/>
    </xf>
    <xf numFmtId="0" fontId="8" fillId="4" borderId="10"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0" xfId="0" applyFont="1" applyFill="1" applyBorder="1" applyAlignment="1">
      <alignment horizontal="center" wrapText="1"/>
    </xf>
    <xf numFmtId="0" fontId="2" fillId="5" borderId="35"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6" xfId="0" applyFont="1" applyFill="1" applyBorder="1" applyAlignment="1">
      <alignment horizontal="center" vertical="center"/>
    </xf>
    <xf numFmtId="0" fontId="19" fillId="3" borderId="7" xfId="0" applyFont="1" applyFill="1" applyBorder="1" applyAlignment="1">
      <alignment horizontal="center" vertical="center"/>
    </xf>
    <xf numFmtId="0" fontId="21" fillId="0" borderId="12" xfId="0" applyFont="1" applyBorder="1"/>
    <xf numFmtId="0" fontId="21" fillId="0" borderId="12" xfId="0" applyFont="1" applyBorder="1" applyAlignment="1">
      <alignment horizontal="left" vertical="center"/>
    </xf>
    <xf numFmtId="0" fontId="21" fillId="0" borderId="12" xfId="0" applyFont="1" applyBorder="1" applyAlignment="1">
      <alignment wrapText="1"/>
    </xf>
    <xf numFmtId="0" fontId="21" fillId="0" borderId="0" xfId="0" applyFont="1" applyAlignment="1">
      <alignment wrapText="1"/>
    </xf>
    <xf numFmtId="0" fontId="22" fillId="7" borderId="12" xfId="0" applyFont="1" applyFill="1" applyBorder="1" applyAlignment="1">
      <alignment vertical="center" wrapText="1"/>
    </xf>
    <xf numFmtId="0" fontId="22" fillId="7" borderId="12" xfId="2" applyFont="1" applyFill="1" applyBorder="1" applyAlignment="1">
      <alignment vertical="center" wrapText="1"/>
    </xf>
    <xf numFmtId="0" fontId="20" fillId="7" borderId="12" xfId="2" applyFont="1" applyFill="1" applyBorder="1" applyAlignment="1">
      <alignment vertical="center" wrapText="1"/>
    </xf>
    <xf numFmtId="0" fontId="21" fillId="0" borderId="0" xfId="0" applyFont="1"/>
    <xf numFmtId="0" fontId="20" fillId="7" borderId="12"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21" fillId="7" borderId="12" xfId="0" applyFont="1" applyFill="1" applyBorder="1" applyAlignment="1">
      <alignment horizontal="center" vertical="center"/>
    </xf>
    <xf numFmtId="0" fontId="22" fillId="0" borderId="12" xfId="0" applyFont="1" applyBorder="1" applyAlignment="1">
      <alignment vertical="center" wrapText="1"/>
    </xf>
    <xf numFmtId="0" fontId="20" fillId="0" borderId="12" xfId="2" applyFont="1" applyBorder="1" applyAlignment="1">
      <alignment vertical="center" wrapText="1"/>
    </xf>
    <xf numFmtId="0" fontId="22" fillId="0" borderId="10" xfId="2" applyFont="1" applyBorder="1" applyAlignment="1">
      <alignment horizontal="left" vertical="center" wrapText="1"/>
    </xf>
    <xf numFmtId="0" fontId="21" fillId="0" borderId="13" xfId="0" applyFont="1" applyBorder="1"/>
    <xf numFmtId="0" fontId="21" fillId="0" borderId="13" xfId="0" applyFont="1" applyBorder="1" applyAlignment="1">
      <alignment horizontal="left"/>
    </xf>
    <xf numFmtId="0" fontId="20" fillId="0" borderId="12" xfId="2" applyFont="1" applyBorder="1" applyAlignment="1">
      <alignment horizontal="center" vertical="center" wrapText="1"/>
    </xf>
    <xf numFmtId="0" fontId="21" fillId="0" borderId="12" xfId="0" applyFont="1" applyBorder="1" applyAlignment="1">
      <alignment horizontal="left"/>
    </xf>
    <xf numFmtId="0" fontId="22" fillId="0" borderId="12" xfId="2" applyFont="1" applyBorder="1" applyAlignment="1">
      <alignment vertical="center" wrapText="1"/>
    </xf>
    <xf numFmtId="0" fontId="20" fillId="0" borderId="13" xfId="2" applyFont="1" applyBorder="1" applyAlignment="1">
      <alignment vertical="center" wrapText="1"/>
    </xf>
    <xf numFmtId="0" fontId="22" fillId="0" borderId="13" xfId="0" applyFont="1" applyBorder="1" applyAlignment="1">
      <alignment vertical="center" wrapText="1"/>
    </xf>
    <xf numFmtId="0" fontId="22" fillId="0" borderId="13" xfId="2" applyFont="1" applyBorder="1" applyAlignment="1">
      <alignment vertical="center" wrapText="1"/>
    </xf>
    <xf numFmtId="0" fontId="20" fillId="0" borderId="27" xfId="2" applyFont="1" applyBorder="1" applyAlignment="1">
      <alignment vertical="center" wrapText="1"/>
    </xf>
    <xf numFmtId="0" fontId="20" fillId="0" borderId="12" xfId="0" applyFont="1" applyBorder="1" applyAlignment="1">
      <alignment vertical="center" wrapText="1"/>
    </xf>
    <xf numFmtId="0" fontId="22" fillId="0" borderId="17" xfId="0" applyFont="1" applyBorder="1" applyAlignment="1">
      <alignment vertical="center" wrapText="1"/>
    </xf>
    <xf numFmtId="0" fontId="24" fillId="4" borderId="12" xfId="0" applyFont="1" applyFill="1" applyBorder="1" applyAlignment="1">
      <alignment horizontal="center" vertical="center" wrapText="1"/>
    </xf>
    <xf numFmtId="0" fontId="25" fillId="4" borderId="12" xfId="0" applyFont="1" applyFill="1" applyBorder="1" applyAlignment="1">
      <alignment horizontal="center" vertical="center" wrapText="1"/>
    </xf>
    <xf numFmtId="0" fontId="25" fillId="4" borderId="12" xfId="0" applyFont="1" applyFill="1" applyBorder="1" applyAlignment="1">
      <alignment horizontal="center" wrapText="1"/>
    </xf>
    <xf numFmtId="0" fontId="24" fillId="4" borderId="10" xfId="0" applyFont="1" applyFill="1" applyBorder="1" applyAlignment="1">
      <alignment horizontal="center" vertical="center" wrapText="1"/>
    </xf>
    <xf numFmtId="0" fontId="25" fillId="5" borderId="35" xfId="0" applyFont="1" applyFill="1" applyBorder="1" applyAlignment="1">
      <alignment horizontal="center" vertical="center" wrapText="1"/>
    </xf>
    <xf numFmtId="1" fontId="0" fillId="0" borderId="0" xfId="0" applyNumberFormat="1"/>
    <xf numFmtId="0" fontId="26" fillId="9" borderId="12" xfId="2" applyFont="1" applyFill="1" applyBorder="1" applyAlignment="1">
      <alignment horizontal="center" vertical="center"/>
    </xf>
    <xf numFmtId="0" fontId="8" fillId="10" borderId="12" xfId="2" applyFont="1" applyFill="1" applyBorder="1" applyAlignment="1">
      <alignment vertical="center" wrapText="1"/>
    </xf>
    <xf numFmtId="0" fontId="2" fillId="10" borderId="12" xfId="2" applyFont="1" applyFill="1" applyBorder="1" applyAlignment="1">
      <alignment vertical="center" wrapText="1"/>
    </xf>
    <xf numFmtId="0" fontId="8" fillId="10" borderId="12" xfId="2" applyFont="1" applyFill="1" applyBorder="1" applyAlignment="1">
      <alignment horizontal="center" vertical="center" wrapText="1"/>
    </xf>
    <xf numFmtId="0" fontId="8" fillId="0" borderId="12" xfId="0" applyFont="1" applyBorder="1" applyAlignment="1">
      <alignment vertical="center" wrapText="1"/>
    </xf>
    <xf numFmtId="0" fontId="27" fillId="0" borderId="12" xfId="0" applyFont="1" applyBorder="1" applyAlignment="1">
      <alignment vertical="center" wrapText="1"/>
    </xf>
    <xf numFmtId="0" fontId="27" fillId="0" borderId="12" xfId="0" applyFont="1" applyBorder="1" applyAlignment="1">
      <alignment horizontal="center" vertical="center" wrapText="1"/>
    </xf>
    <xf numFmtId="0" fontId="8" fillId="7" borderId="12" xfId="2" applyFont="1" applyFill="1" applyBorder="1" applyAlignment="1">
      <alignment horizontal="center" vertical="center" wrapText="1"/>
    </xf>
    <xf numFmtId="0" fontId="28" fillId="0" borderId="0" xfId="0" applyFont="1" applyAlignment="1">
      <alignment wrapText="1"/>
    </xf>
    <xf numFmtId="0" fontId="8" fillId="4" borderId="12" xfId="0" applyFont="1" applyFill="1" applyBorder="1" applyAlignment="1">
      <alignment horizontal="center" vertical="center" wrapText="1"/>
    </xf>
    <xf numFmtId="0" fontId="16" fillId="0" borderId="12" xfId="0" applyFont="1" applyBorder="1" applyAlignment="1">
      <alignment horizontal="center" vertical="center" wrapText="1"/>
    </xf>
    <xf numFmtId="0" fontId="2" fillId="0" borderId="12" xfId="0" applyFont="1" applyBorder="1" applyAlignment="1">
      <alignment wrapText="1"/>
    </xf>
    <xf numFmtId="0" fontId="2" fillId="0" borderId="12" xfId="0" applyFont="1" applyBorder="1" applyAlignment="1">
      <alignment horizontal="center" wrapText="1"/>
    </xf>
    <xf numFmtId="0" fontId="0" fillId="0" borderId="0" xfId="0" applyAlignment="1">
      <alignment horizontal="center"/>
    </xf>
    <xf numFmtId="0" fontId="29" fillId="0" borderId="0" xfId="0" applyFont="1" applyAlignment="1">
      <alignment horizontal="center"/>
    </xf>
    <xf numFmtId="0" fontId="29" fillId="0" borderId="0" xfId="0" applyFont="1"/>
    <xf numFmtId="0" fontId="45" fillId="3" borderId="12" xfId="0" applyFont="1" applyFill="1" applyBorder="1" applyAlignment="1">
      <alignment horizontal="center" vertical="center" wrapText="1"/>
    </xf>
    <xf numFmtId="0" fontId="0" fillId="0" borderId="0" xfId="0" applyAlignment="1">
      <alignment horizontal="left"/>
    </xf>
    <xf numFmtId="0" fontId="47" fillId="7" borderId="17" xfId="2" applyFont="1" applyFill="1" applyBorder="1" applyAlignment="1">
      <alignment horizontal="left" vertical="center" wrapText="1"/>
    </xf>
    <xf numFmtId="0" fontId="49" fillId="12" borderId="38" xfId="2" applyFont="1" applyFill="1" applyBorder="1" applyAlignment="1">
      <alignment horizontal="center" vertical="center"/>
    </xf>
    <xf numFmtId="0" fontId="49" fillId="12" borderId="10" xfId="2" applyFont="1" applyFill="1" applyBorder="1" applyAlignment="1">
      <alignment horizontal="center" vertical="center"/>
    </xf>
    <xf numFmtId="0" fontId="49" fillId="12" borderId="10" xfId="2" applyFont="1" applyFill="1" applyBorder="1" applyAlignment="1">
      <alignment horizontal="left" vertical="center"/>
    </xf>
    <xf numFmtId="0" fontId="49" fillId="12" borderId="45" xfId="2" applyFont="1" applyFill="1" applyBorder="1" applyAlignment="1">
      <alignment horizontal="center" vertical="center"/>
    </xf>
    <xf numFmtId="0" fontId="50" fillId="14" borderId="52" xfId="0" applyFont="1" applyFill="1" applyBorder="1" applyAlignment="1">
      <alignment vertical="center"/>
    </xf>
    <xf numFmtId="0" fontId="47" fillId="0" borderId="8" xfId="2" applyFont="1" applyBorder="1" applyAlignment="1">
      <alignment horizontal="center" vertical="center" wrapText="1"/>
    </xf>
    <xf numFmtId="0" fontId="47" fillId="0" borderId="6" xfId="2" applyFont="1" applyBorder="1" applyAlignment="1">
      <alignment horizontal="left" vertical="center" wrapText="1"/>
    </xf>
    <xf numFmtId="0" fontId="47" fillId="7" borderId="6" xfId="2" applyFont="1" applyFill="1" applyBorder="1" applyAlignment="1">
      <alignment horizontal="left" vertical="center" wrapText="1"/>
    </xf>
    <xf numFmtId="0" fontId="47" fillId="0" borderId="6" xfId="2" applyFont="1" applyBorder="1" applyAlignment="1">
      <alignment horizontal="left" wrapText="1"/>
    </xf>
    <xf numFmtId="0" fontId="47" fillId="0" borderId="6" xfId="2" applyFont="1" applyBorder="1" applyAlignment="1">
      <alignment horizontal="center" wrapText="1"/>
    </xf>
    <xf numFmtId="0" fontId="50" fillId="0" borderId="7" xfId="0" applyFont="1" applyBorder="1" applyAlignment="1">
      <alignment horizontal="center" vertical="center"/>
    </xf>
    <xf numFmtId="0" fontId="47" fillId="0" borderId="16" xfId="2" applyFont="1" applyBorder="1" applyAlignment="1">
      <alignment horizontal="center" vertical="center" wrapText="1"/>
    </xf>
    <xf numFmtId="0" fontId="47" fillId="0" borderId="17" xfId="2" applyFont="1" applyBorder="1" applyAlignment="1">
      <alignment horizontal="left" vertical="center" wrapText="1"/>
    </xf>
    <xf numFmtId="0" fontId="47" fillId="0" borderId="17" xfId="2" applyFont="1" applyBorder="1" applyAlignment="1">
      <alignment horizontal="center" vertical="center" wrapText="1"/>
    </xf>
    <xf numFmtId="0" fontId="50" fillId="0" borderId="32" xfId="0" applyFont="1" applyBorder="1" applyAlignment="1">
      <alignment horizontal="center" vertical="center"/>
    </xf>
    <xf numFmtId="0" fontId="47" fillId="0" borderId="6" xfId="2" applyFont="1" applyBorder="1" applyAlignment="1">
      <alignment horizontal="center" vertical="center" wrapText="1"/>
    </xf>
    <xf numFmtId="0" fontId="52" fillId="0" borderId="17" xfId="2" applyFont="1" applyBorder="1" applyAlignment="1">
      <alignment horizontal="left" vertical="center" wrapText="1"/>
    </xf>
    <xf numFmtId="0" fontId="52" fillId="0" borderId="17" xfId="2" applyFont="1" applyBorder="1" applyAlignment="1">
      <alignment horizontal="center" vertical="center" wrapText="1"/>
    </xf>
    <xf numFmtId="0" fontId="47" fillId="0" borderId="11" xfId="2" applyFont="1" applyBorder="1" applyAlignment="1">
      <alignment horizontal="center" vertical="center" wrapText="1"/>
    </xf>
    <xf numFmtId="0" fontId="47" fillId="0" borderId="12" xfId="2" applyFont="1" applyBorder="1" applyAlignment="1">
      <alignment horizontal="left" vertical="center" wrapText="1"/>
    </xf>
    <xf numFmtId="0" fontId="47" fillId="0" borderId="12" xfId="2" applyFont="1" applyBorder="1" applyAlignment="1">
      <alignment horizontal="center" vertical="center" wrapText="1"/>
    </xf>
    <xf numFmtId="0" fontId="50" fillId="0" borderId="24" xfId="0" applyFont="1" applyBorder="1" applyAlignment="1">
      <alignment horizontal="center" vertical="center"/>
    </xf>
    <xf numFmtId="0" fontId="50" fillId="0" borderId="22" xfId="0" applyFont="1" applyBorder="1" applyAlignment="1">
      <alignment horizontal="center" vertical="center"/>
    </xf>
    <xf numFmtId="0" fontId="52" fillId="0" borderId="41" xfId="0" applyFont="1" applyBorder="1" applyAlignment="1">
      <alignment horizontal="center" vertical="center"/>
    </xf>
    <xf numFmtId="14" fontId="50" fillId="0" borderId="42" xfId="0" applyNumberFormat="1" applyFont="1" applyBorder="1" applyAlignment="1">
      <alignment horizontal="center" vertical="center"/>
    </xf>
    <xf numFmtId="0" fontId="50" fillId="13" borderId="0" xfId="0" applyFont="1" applyFill="1" applyAlignment="1">
      <alignment horizontal="center"/>
    </xf>
    <xf numFmtId="0" fontId="50" fillId="13" borderId="37" xfId="0" applyFont="1" applyFill="1" applyBorder="1" applyAlignment="1">
      <alignment horizontal="center"/>
    </xf>
    <xf numFmtId="0" fontId="50" fillId="13" borderId="43" xfId="0" applyFont="1" applyFill="1" applyBorder="1" applyAlignment="1">
      <alignment horizontal="center" vertical="center"/>
    </xf>
    <xf numFmtId="0" fontId="52" fillId="0" borderId="0" xfId="0" applyFont="1" applyAlignment="1">
      <alignment horizontal="center" vertical="center"/>
    </xf>
    <xf numFmtId="0" fontId="50" fillId="0" borderId="0" xfId="0" applyFont="1" applyAlignment="1">
      <alignment horizontal="center" vertical="center"/>
    </xf>
    <xf numFmtId="0" fontId="52" fillId="0" borderId="0" xfId="0" applyFont="1" applyAlignment="1">
      <alignment horizontal="left"/>
    </xf>
    <xf numFmtId="0" fontId="50" fillId="4" borderId="50" xfId="0" applyFont="1" applyFill="1" applyBorder="1" applyAlignment="1">
      <alignment horizontal="center"/>
    </xf>
    <xf numFmtId="0" fontId="50" fillId="4" borderId="51" xfId="0" applyFont="1" applyFill="1" applyBorder="1" applyAlignment="1">
      <alignment horizontal="center"/>
    </xf>
    <xf numFmtId="0" fontId="50" fillId="4" borderId="22" xfId="0" applyFont="1" applyFill="1" applyBorder="1" applyAlignment="1">
      <alignment horizontal="center" vertical="center"/>
    </xf>
    <xf numFmtId="0" fontId="52" fillId="0" borderId="0" xfId="0" applyFont="1"/>
    <xf numFmtId="0" fontId="50" fillId="13" borderId="12" xfId="0" applyFont="1" applyFill="1" applyBorder="1" applyAlignment="1">
      <alignment horizontal="center"/>
    </xf>
    <xf numFmtId="0" fontId="50" fillId="15" borderId="12" xfId="0" applyFont="1" applyFill="1" applyBorder="1" applyAlignment="1">
      <alignment horizontal="center" vertical="center"/>
    </xf>
    <xf numFmtId="0" fontId="49" fillId="12" borderId="12" xfId="0" applyFont="1" applyFill="1" applyBorder="1" applyAlignment="1">
      <alignment horizontal="center" vertical="center" wrapText="1"/>
    </xf>
    <xf numFmtId="0" fontId="52" fillId="0" borderId="12" xfId="0" applyFont="1" applyBorder="1" applyAlignment="1">
      <alignment horizontal="center" vertical="center" wrapText="1"/>
    </xf>
    <xf numFmtId="0" fontId="54" fillId="0" borderId="12" xfId="0" applyFont="1" applyBorder="1" applyAlignment="1">
      <alignment horizontal="left" vertical="center"/>
    </xf>
    <xf numFmtId="0" fontId="54" fillId="0" borderId="12" xfId="0" applyFont="1" applyBorder="1" applyAlignment="1">
      <alignment horizontal="left" vertical="center" wrapText="1"/>
    </xf>
    <xf numFmtId="0" fontId="54" fillId="0" borderId="12" xfId="0" applyFont="1" applyBorder="1" applyAlignment="1">
      <alignment horizontal="center" vertical="center" wrapText="1"/>
    </xf>
    <xf numFmtId="0" fontId="50" fillId="0" borderId="12" xfId="0" applyFont="1" applyBorder="1" applyAlignment="1">
      <alignment horizontal="center" vertical="center"/>
    </xf>
    <xf numFmtId="0" fontId="52" fillId="0" borderId="12" xfId="0" applyFont="1" applyBorder="1" applyAlignment="1">
      <alignment horizontal="left" vertical="center" wrapText="1"/>
    </xf>
    <xf numFmtId="0" fontId="52" fillId="0" borderId="12" xfId="0" applyFont="1" applyBorder="1" applyAlignment="1">
      <alignment horizontal="left" vertical="center"/>
    </xf>
    <xf numFmtId="0" fontId="49" fillId="12" borderId="12" xfId="0" applyFont="1" applyFill="1" applyBorder="1" applyAlignment="1">
      <alignment horizontal="center" vertical="center"/>
    </xf>
    <xf numFmtId="0" fontId="52" fillId="0" borderId="12" xfId="0" applyFont="1" applyBorder="1" applyAlignment="1">
      <alignment horizontal="left" wrapText="1"/>
    </xf>
    <xf numFmtId="0" fontId="57" fillId="0" borderId="12" xfId="0" applyFont="1" applyBorder="1" applyAlignment="1">
      <alignment horizontal="left" wrapText="1"/>
    </xf>
    <xf numFmtId="0" fontId="50" fillId="16" borderId="12" xfId="0" applyFont="1" applyFill="1" applyBorder="1" applyAlignment="1">
      <alignment horizontal="center" vertical="center"/>
    </xf>
    <xf numFmtId="0" fontId="47" fillId="0" borderId="12" xfId="0" applyFont="1" applyBorder="1" applyAlignment="1">
      <alignment horizontal="left" vertical="center"/>
    </xf>
    <xf numFmtId="0" fontId="47" fillId="0" borderId="12" xfId="0" applyFont="1" applyBorder="1" applyAlignment="1">
      <alignment horizontal="left" vertical="center" wrapText="1"/>
    </xf>
    <xf numFmtId="0" fontId="50" fillId="15" borderId="12" xfId="0" applyFont="1" applyFill="1" applyBorder="1" applyAlignment="1">
      <alignment horizontal="center"/>
    </xf>
    <xf numFmtId="0" fontId="52" fillId="0" borderId="10" xfId="0" applyFont="1" applyBorder="1" applyAlignment="1">
      <alignment horizontal="left" vertical="center" wrapText="1"/>
    </xf>
    <xf numFmtId="0" fontId="52" fillId="0" borderId="6" xfId="0" applyFont="1" applyBorder="1" applyAlignment="1">
      <alignment horizontal="left" vertical="center" wrapText="1"/>
    </xf>
    <xf numFmtId="0" fontId="52" fillId="0" borderId="6" xfId="0" applyFont="1" applyBorder="1" applyAlignment="1">
      <alignment horizontal="left" wrapText="1"/>
    </xf>
    <xf numFmtId="0" fontId="52" fillId="0" borderId="6" xfId="0" applyFont="1" applyBorder="1" applyAlignment="1">
      <alignment horizontal="center" vertical="center" wrapText="1"/>
    </xf>
    <xf numFmtId="0" fontId="52" fillId="0" borderId="17" xfId="0" applyFont="1" applyBorder="1" applyAlignment="1">
      <alignment horizontal="left" vertical="center" wrapText="1"/>
    </xf>
    <xf numFmtId="0" fontId="52" fillId="0" borderId="17" xfId="0" applyFont="1" applyBorder="1" applyAlignment="1">
      <alignment horizontal="left" wrapText="1"/>
    </xf>
    <xf numFmtId="0" fontId="52" fillId="0" borderId="15" xfId="0" applyFont="1" applyBorder="1" applyAlignment="1">
      <alignment horizontal="left" vertical="center" wrapText="1"/>
    </xf>
    <xf numFmtId="0" fontId="52" fillId="0" borderId="12" xfId="0" applyFont="1" applyBorder="1" applyAlignment="1">
      <alignment horizontal="left"/>
    </xf>
    <xf numFmtId="0" fontId="52" fillId="0" borderId="12" xfId="0" applyFont="1" applyBorder="1" applyAlignment="1">
      <alignment vertical="top" wrapText="1"/>
    </xf>
    <xf numFmtId="0" fontId="52" fillId="0" borderId="12" xfId="0" applyFont="1" applyBorder="1" applyAlignment="1">
      <alignment wrapText="1"/>
    </xf>
    <xf numFmtId="0" fontId="52" fillId="0" borderId="12" xfId="0" applyFont="1" applyBorder="1" applyAlignment="1">
      <alignment vertical="center" wrapText="1"/>
    </xf>
    <xf numFmtId="0" fontId="54" fillId="0" borderId="12" xfId="0" applyFont="1" applyBorder="1" applyAlignment="1">
      <alignment vertical="center" wrapText="1"/>
    </xf>
    <xf numFmtId="0" fontId="52" fillId="0" borderId="12" xfId="0" applyFont="1" applyBorder="1" applyAlignment="1">
      <alignment vertical="center"/>
    </xf>
    <xf numFmtId="0" fontId="50" fillId="17" borderId="0" xfId="0" applyFont="1" applyFill="1" applyAlignment="1">
      <alignment horizontal="center"/>
    </xf>
    <xf numFmtId="0" fontId="52" fillId="0" borderId="0" xfId="0" applyFont="1" applyAlignment="1">
      <alignment horizontal="center" wrapText="1"/>
    </xf>
    <xf numFmtId="0" fontId="52" fillId="0" borderId="0" xfId="0" applyFont="1" applyAlignment="1">
      <alignment wrapText="1"/>
    </xf>
    <xf numFmtId="0" fontId="50" fillId="4" borderId="1" xfId="0" applyFont="1" applyFill="1" applyBorder="1" applyAlignment="1">
      <alignment wrapText="1"/>
    </xf>
    <xf numFmtId="0" fontId="50" fillId="4" borderId="35" xfId="0" applyFont="1" applyFill="1" applyBorder="1" applyAlignment="1">
      <alignment horizontal="center" wrapText="1"/>
    </xf>
    <xf numFmtId="0" fontId="50" fillId="4" borderId="55" xfId="0" applyFont="1" applyFill="1" applyBorder="1" applyAlignment="1">
      <alignment horizontal="center" wrapText="1"/>
    </xf>
    <xf numFmtId="0" fontId="50" fillId="4" borderId="56" xfId="0" applyFont="1" applyFill="1" applyBorder="1" applyAlignment="1">
      <alignment horizontal="center" vertical="center"/>
    </xf>
    <xf numFmtId="0" fontId="50" fillId="5" borderId="1" xfId="0" applyFont="1" applyFill="1" applyBorder="1" applyAlignment="1">
      <alignment wrapText="1"/>
    </xf>
    <xf numFmtId="0" fontId="52" fillId="0" borderId="0" xfId="0" applyFont="1" applyAlignment="1">
      <alignment horizontal="center"/>
    </xf>
    <xf numFmtId="166" fontId="44" fillId="3" borderId="12" xfId="0" applyNumberFormat="1" applyFont="1" applyFill="1" applyBorder="1" applyAlignment="1">
      <alignment horizontal="center" vertical="center" wrapText="1"/>
    </xf>
    <xf numFmtId="165" fontId="29" fillId="0" borderId="12" xfId="0" applyNumberFormat="1" applyFont="1" applyBorder="1" applyAlignment="1">
      <alignment horizontal="center" vertical="center"/>
    </xf>
    <xf numFmtId="0" fontId="29" fillId="0" borderId="12" xfId="3" applyFont="1" applyBorder="1" applyAlignment="1">
      <alignment horizontal="left" vertical="center"/>
    </xf>
    <xf numFmtId="0" fontId="29" fillId="16" borderId="12" xfId="3" applyFont="1" applyFill="1" applyBorder="1" applyAlignment="1">
      <alignment vertical="center"/>
    </xf>
    <xf numFmtId="0" fontId="29" fillId="0" borderId="12" xfId="0" applyFont="1" applyBorder="1"/>
    <xf numFmtId="0" fontId="46" fillId="0" borderId="12" xfId="3" applyFont="1" applyBorder="1" applyAlignment="1">
      <alignment vertical="center"/>
    </xf>
    <xf numFmtId="0" fontId="29" fillId="0" borderId="12" xfId="0" applyFont="1" applyBorder="1" applyAlignment="1">
      <alignment horizontal="center"/>
    </xf>
    <xf numFmtId="0" fontId="29" fillId="0" borderId="12" xfId="0" applyFont="1" applyBorder="1" applyAlignment="1">
      <alignment horizontal="center" vertical="center"/>
    </xf>
    <xf numFmtId="0" fontId="44" fillId="19" borderId="12" xfId="0" applyFont="1" applyFill="1" applyBorder="1" applyAlignment="1">
      <alignment horizontal="center" vertical="center" readingOrder="1"/>
    </xf>
    <xf numFmtId="0" fontId="29" fillId="0" borderId="12" xfId="3" applyFont="1" applyBorder="1" applyAlignment="1">
      <alignment horizontal="center" vertical="center"/>
    </xf>
    <xf numFmtId="0" fontId="46" fillId="0" borderId="12" xfId="3" applyFont="1" applyBorder="1" applyAlignment="1">
      <alignment horizontal="center" vertical="center"/>
    </xf>
    <xf numFmtId="0" fontId="28" fillId="0" borderId="12" xfId="2" applyFont="1" applyBorder="1" applyAlignment="1">
      <alignment horizontal="left" vertical="center" wrapText="1"/>
    </xf>
    <xf numFmtId="0" fontId="29" fillId="3" borderId="12" xfId="0" applyFont="1" applyFill="1" applyBorder="1" applyAlignment="1">
      <alignment horizontal="center"/>
    </xf>
    <xf numFmtId="165" fontId="29" fillId="3" borderId="12" xfId="0" applyNumberFormat="1" applyFont="1" applyFill="1" applyBorder="1" applyAlignment="1">
      <alignment horizontal="center" vertical="center"/>
    </xf>
    <xf numFmtId="0" fontId="29" fillId="3" borderId="12" xfId="3" applyFont="1" applyFill="1" applyBorder="1" applyAlignment="1">
      <alignment horizontal="left" vertical="center"/>
    </xf>
    <xf numFmtId="0" fontId="29" fillId="3" borderId="12" xfId="0" applyFont="1" applyFill="1" applyBorder="1" applyAlignment="1">
      <alignment horizontal="center" vertical="center"/>
    </xf>
    <xf numFmtId="0" fontId="44" fillId="3" borderId="12" xfId="0" applyFont="1" applyFill="1" applyBorder="1" applyAlignment="1">
      <alignment horizontal="center" vertical="center" readingOrder="1"/>
    </xf>
    <xf numFmtId="165" fontId="44" fillId="3" borderId="12" xfId="0" applyNumberFormat="1" applyFont="1" applyFill="1" applyBorder="1" applyAlignment="1">
      <alignment horizontal="center" vertical="center"/>
    </xf>
    <xf numFmtId="165" fontId="45" fillId="3" borderId="12" xfId="3" applyNumberFormat="1" applyFont="1" applyFill="1" applyBorder="1" applyAlignment="1">
      <alignment horizontal="left" vertical="center"/>
    </xf>
    <xf numFmtId="165" fontId="44" fillId="3" borderId="12" xfId="3" applyNumberFormat="1" applyFont="1" applyFill="1" applyBorder="1" applyAlignment="1">
      <alignment horizontal="center" vertical="center"/>
    </xf>
    <xf numFmtId="0" fontId="29" fillId="3" borderId="0" xfId="0" applyFont="1" applyFill="1" applyAlignment="1">
      <alignment horizontal="center"/>
    </xf>
    <xf numFmtId="0" fontId="29" fillId="3" borderId="0" xfId="0" applyFont="1" applyFill="1"/>
    <xf numFmtId="0" fontId="45" fillId="3" borderId="12" xfId="0" applyFont="1" applyFill="1" applyBorder="1" applyAlignment="1">
      <alignment horizontal="center" vertical="center"/>
    </xf>
    <xf numFmtId="165" fontId="45" fillId="3" borderId="12" xfId="0" applyNumberFormat="1" applyFont="1" applyFill="1" applyBorder="1" applyAlignment="1">
      <alignment horizontal="center" vertical="center"/>
    </xf>
    <xf numFmtId="0" fontId="59" fillId="3" borderId="12" xfId="0" applyFont="1" applyFill="1" applyBorder="1" applyAlignment="1">
      <alignment horizontal="center" vertical="center"/>
    </xf>
    <xf numFmtId="0" fontId="29" fillId="3" borderId="12" xfId="3" applyFont="1" applyFill="1" applyBorder="1" applyAlignment="1">
      <alignment vertical="center"/>
    </xf>
    <xf numFmtId="165" fontId="45" fillId="3" borderId="12" xfId="0" applyNumberFormat="1" applyFont="1" applyFill="1" applyBorder="1" applyAlignment="1">
      <alignment horizontal="left" vertical="center"/>
    </xf>
    <xf numFmtId="0" fontId="29" fillId="3" borderId="12" xfId="0" applyFont="1" applyFill="1" applyBorder="1"/>
    <xf numFmtId="0" fontId="34" fillId="0" borderId="12" xfId="0" applyFont="1" applyBorder="1" applyAlignment="1">
      <alignment horizontal="left" vertical="center" wrapText="1"/>
    </xf>
    <xf numFmtId="0" fontId="50" fillId="0" borderId="10" xfId="0" applyFont="1" applyBorder="1" applyAlignment="1">
      <alignment horizontal="center" vertical="center"/>
    </xf>
    <xf numFmtId="0" fontId="50" fillId="0" borderId="14" xfId="0" applyFont="1" applyBorder="1" applyAlignment="1">
      <alignment horizontal="center" vertical="center"/>
    </xf>
    <xf numFmtId="0" fontId="50" fillId="0" borderId="15" xfId="0" applyFont="1" applyBorder="1" applyAlignment="1">
      <alignment horizontal="center" vertical="center"/>
    </xf>
    <xf numFmtId="0" fontId="52" fillId="0" borderId="10"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15" xfId="0" applyFont="1" applyBorder="1" applyAlignment="1">
      <alignment horizontal="center" vertical="center" wrapText="1"/>
    </xf>
    <xf numFmtId="0" fontId="50" fillId="15" borderId="12" xfId="0" applyFont="1" applyFill="1" applyBorder="1" applyAlignment="1">
      <alignment horizontal="center" vertical="center"/>
    </xf>
    <xf numFmtId="0" fontId="50" fillId="0" borderId="12" xfId="0" applyFont="1" applyBorder="1" applyAlignment="1">
      <alignment horizontal="center" vertical="center"/>
    </xf>
    <xf numFmtId="0" fontId="50" fillId="0" borderId="5" xfId="0" applyFont="1" applyBorder="1" applyAlignment="1">
      <alignment horizontal="center" vertical="center"/>
    </xf>
    <xf numFmtId="0" fontId="52" fillId="0" borderId="12" xfId="0" applyFont="1" applyBorder="1" applyAlignment="1">
      <alignment horizontal="center" vertical="center" wrapText="1"/>
    </xf>
    <xf numFmtId="0" fontId="50" fillId="0" borderId="21" xfId="0" applyFont="1" applyBorder="1" applyAlignment="1">
      <alignment horizontal="center" vertical="center"/>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43" xfId="0" applyFont="1" applyBorder="1" applyAlignment="1">
      <alignment horizontal="center" vertical="center"/>
    </xf>
    <xf numFmtId="0" fontId="54" fillId="0" borderId="12" xfId="0" applyFont="1" applyBorder="1" applyAlignment="1">
      <alignment horizontal="center" vertical="center" wrapText="1"/>
    </xf>
    <xf numFmtId="0" fontId="47" fillId="0" borderId="12" xfId="0" applyFont="1" applyBorder="1" applyAlignment="1">
      <alignment horizontal="center" vertical="center" wrapText="1"/>
    </xf>
    <xf numFmtId="0" fontId="47" fillId="0" borderId="10" xfId="0" applyFont="1" applyBorder="1" applyAlignment="1">
      <alignment horizontal="center" vertical="center" wrapText="1"/>
    </xf>
    <xf numFmtId="0" fontId="47" fillId="0" borderId="14" xfId="0" applyFont="1" applyBorder="1" applyAlignment="1">
      <alignment horizontal="center" vertical="center" wrapText="1"/>
    </xf>
    <xf numFmtId="0" fontId="47" fillId="0" borderId="15" xfId="0" applyFont="1" applyBorder="1" applyAlignment="1">
      <alignment horizontal="center" vertical="center" wrapText="1"/>
    </xf>
    <xf numFmtId="0" fontId="47" fillId="0" borderId="12" xfId="0" applyFont="1" applyBorder="1" applyAlignment="1">
      <alignment horizontal="left" vertical="center" wrapText="1"/>
    </xf>
    <xf numFmtId="0" fontId="52" fillId="0" borderId="12" xfId="0" applyFont="1" applyBorder="1" applyAlignment="1">
      <alignment horizontal="left" vertical="center" wrapText="1"/>
    </xf>
    <xf numFmtId="0" fontId="52" fillId="0" borderId="42" xfId="0" applyFont="1" applyBorder="1" applyAlignment="1">
      <alignment horizontal="center" vertical="center" wrapText="1"/>
    </xf>
    <xf numFmtId="0" fontId="52" fillId="0" borderId="5" xfId="0" applyFont="1" applyBorder="1" applyAlignment="1">
      <alignment horizontal="center" vertical="center" wrapText="1"/>
    </xf>
    <xf numFmtId="0" fontId="57" fillId="0" borderId="12" xfId="0" applyFont="1" applyBorder="1" applyAlignment="1">
      <alignment horizontal="center" vertical="center" wrapText="1"/>
    </xf>
    <xf numFmtId="0" fontId="52" fillId="0" borderId="12" xfId="0" applyFont="1" applyBorder="1" applyAlignment="1">
      <alignment horizontal="left" vertical="center"/>
    </xf>
    <xf numFmtId="0" fontId="54" fillId="0" borderId="12" xfId="0" applyFont="1" applyBorder="1" applyAlignment="1">
      <alignment horizontal="left" vertical="center" wrapText="1"/>
    </xf>
    <xf numFmtId="0" fontId="52" fillId="0" borderId="8" xfId="0" applyFont="1" applyBorder="1" applyAlignment="1">
      <alignment horizontal="center" vertical="center" wrapText="1"/>
    </xf>
    <xf numFmtId="0" fontId="52" fillId="0" borderId="11" xfId="0" applyFont="1" applyBorder="1" applyAlignment="1">
      <alignment horizontal="center" vertical="center" wrapText="1"/>
    </xf>
    <xf numFmtId="0" fontId="52" fillId="0" borderId="16" xfId="0" applyFont="1" applyBorder="1" applyAlignment="1">
      <alignment horizontal="center" vertical="center" wrapText="1"/>
    </xf>
    <xf numFmtId="0" fontId="48" fillId="2" borderId="13" xfId="0" applyFont="1" applyFill="1" applyBorder="1" applyAlignment="1">
      <alignment horizontal="center" vertical="center" wrapText="1"/>
    </xf>
    <xf numFmtId="0" fontId="48" fillId="2" borderId="53" xfId="0" applyFont="1" applyFill="1" applyBorder="1" applyAlignment="1">
      <alignment horizontal="center" vertical="center" wrapText="1"/>
    </xf>
    <xf numFmtId="0" fontId="48" fillId="2" borderId="27" xfId="0" applyFont="1" applyFill="1" applyBorder="1" applyAlignment="1">
      <alignment horizontal="center" vertical="center" wrapText="1"/>
    </xf>
    <xf numFmtId="0" fontId="50" fillId="5" borderId="13" xfId="0" applyFont="1" applyFill="1" applyBorder="1" applyAlignment="1">
      <alignment horizontal="center"/>
    </xf>
    <xf numFmtId="0" fontId="50" fillId="5" borderId="53" xfId="0" applyFont="1" applyFill="1" applyBorder="1" applyAlignment="1">
      <alignment horizontal="center"/>
    </xf>
    <xf numFmtId="0" fontId="50" fillId="5" borderId="27" xfId="0" applyFont="1" applyFill="1" applyBorder="1" applyAlignment="1">
      <alignment horizontal="center"/>
    </xf>
    <xf numFmtId="0" fontId="50" fillId="16" borderId="13" xfId="0" applyFont="1" applyFill="1" applyBorder="1" applyAlignment="1">
      <alignment horizontal="center"/>
    </xf>
    <xf numFmtId="0" fontId="50" fillId="16" borderId="53" xfId="0" applyFont="1" applyFill="1" applyBorder="1" applyAlignment="1">
      <alignment horizontal="center"/>
    </xf>
    <xf numFmtId="0" fontId="50" fillId="16" borderId="27" xfId="0" applyFont="1" applyFill="1" applyBorder="1" applyAlignment="1">
      <alignment horizontal="center"/>
    </xf>
    <xf numFmtId="0" fontId="50" fillId="16" borderId="13" xfId="0" applyFont="1" applyFill="1" applyBorder="1" applyAlignment="1">
      <alignment horizontal="center" vertical="center"/>
    </xf>
    <xf numFmtId="0" fontId="50" fillId="16" borderId="53" xfId="0" applyFont="1" applyFill="1" applyBorder="1" applyAlignment="1">
      <alignment horizontal="center" vertical="center"/>
    </xf>
    <xf numFmtId="0" fontId="50" fillId="16" borderId="27" xfId="0" applyFont="1" applyFill="1" applyBorder="1" applyAlignment="1">
      <alignment horizontal="center" vertical="center"/>
    </xf>
    <xf numFmtId="0" fontId="50" fillId="17" borderId="46" xfId="0" applyFont="1" applyFill="1" applyBorder="1" applyAlignment="1">
      <alignment horizontal="center"/>
    </xf>
    <xf numFmtId="0" fontId="50" fillId="17" borderId="37" xfId="0" applyFont="1" applyFill="1" applyBorder="1" applyAlignment="1">
      <alignment horizontal="center"/>
    </xf>
    <xf numFmtId="0" fontId="50" fillId="17" borderId="54" xfId="0" applyFont="1" applyFill="1" applyBorder="1" applyAlignment="1">
      <alignment horizontal="center"/>
    </xf>
    <xf numFmtId="0" fontId="50" fillId="5" borderId="1" xfId="0" applyFont="1" applyFill="1" applyBorder="1" applyAlignment="1">
      <alignment horizontal="center" vertical="center"/>
    </xf>
    <xf numFmtId="0" fontId="50" fillId="5" borderId="2" xfId="0" applyFont="1" applyFill="1" applyBorder="1" applyAlignment="1">
      <alignment horizontal="center" vertical="center"/>
    </xf>
    <xf numFmtId="0" fontId="50" fillId="5" borderId="3" xfId="0" applyFont="1" applyFill="1" applyBorder="1" applyAlignment="1">
      <alignment horizontal="center" vertical="center"/>
    </xf>
    <xf numFmtId="0" fontId="58" fillId="0" borderId="12" xfId="0" applyFont="1" applyBorder="1" applyAlignment="1">
      <alignment horizontal="center" vertical="center" wrapText="1"/>
    </xf>
    <xf numFmtId="0" fontId="29" fillId="16" borderId="13" xfId="3" applyFont="1" applyFill="1" applyBorder="1" applyAlignment="1">
      <alignment horizontal="center" vertical="center" wrapText="1" readingOrder="1"/>
    </xf>
    <xf numFmtId="0" fontId="29" fillId="16" borderId="27" xfId="3" applyFont="1" applyFill="1" applyBorder="1" applyAlignment="1">
      <alignment horizontal="center" vertical="center" wrapText="1" readingOrder="1"/>
    </xf>
    <xf numFmtId="0" fontId="29" fillId="3" borderId="13" xfId="3" applyFont="1" applyFill="1" applyBorder="1" applyAlignment="1">
      <alignment horizontal="center" vertical="center"/>
    </xf>
    <xf numFmtId="0" fontId="29" fillId="3" borderId="27" xfId="3" applyFont="1" applyFill="1" applyBorder="1" applyAlignment="1">
      <alignment horizontal="center" vertical="center"/>
    </xf>
    <xf numFmtId="0" fontId="48" fillId="2" borderId="45" xfId="0" applyFont="1" applyFill="1" applyBorder="1" applyAlignment="1">
      <alignment horizontal="center" vertical="center" wrapText="1"/>
    </xf>
    <xf numFmtId="0" fontId="48" fillId="2" borderId="0" xfId="0" applyFont="1" applyFill="1" applyAlignment="1">
      <alignment horizontal="center" vertical="center" wrapText="1"/>
    </xf>
    <xf numFmtId="0" fontId="50" fillId="13" borderId="46" xfId="0" applyFont="1" applyFill="1" applyBorder="1" applyAlignment="1">
      <alignment horizontal="left"/>
    </xf>
    <xf numFmtId="0" fontId="50" fillId="13" borderId="37" xfId="0" applyFont="1" applyFill="1" applyBorder="1" applyAlignment="1">
      <alignment horizontal="left"/>
    </xf>
    <xf numFmtId="0" fontId="50" fillId="13" borderId="47" xfId="0" applyFont="1" applyFill="1" applyBorder="1" applyAlignment="1">
      <alignment horizontal="left"/>
    </xf>
    <xf numFmtId="0" fontId="50" fillId="4" borderId="48" xfId="0" applyFont="1" applyFill="1" applyBorder="1" applyAlignment="1">
      <alignment horizontal="left"/>
    </xf>
    <xf numFmtId="0" fontId="50" fillId="4" borderId="49" xfId="0" applyFont="1" applyFill="1" applyBorder="1" applyAlignment="1">
      <alignment horizontal="left"/>
    </xf>
    <xf numFmtId="0" fontId="50" fillId="5" borderId="1" xfId="0" applyFont="1" applyFill="1" applyBorder="1" applyAlignment="1">
      <alignment horizontal="left"/>
    </xf>
    <xf numFmtId="0" fontId="50" fillId="5" borderId="2" xfId="0" applyFont="1" applyFill="1" applyBorder="1" applyAlignment="1">
      <alignment horizontal="left"/>
    </xf>
    <xf numFmtId="0" fontId="50" fillId="5" borderId="1" xfId="0" applyFont="1" applyFill="1" applyBorder="1" applyAlignment="1">
      <alignment horizontal="center"/>
    </xf>
    <xf numFmtId="0" fontId="50" fillId="5" borderId="2" xfId="0" applyFont="1" applyFill="1" applyBorder="1" applyAlignment="1">
      <alignment horizontal="center"/>
    </xf>
    <xf numFmtId="0" fontId="50" fillId="5" borderId="3" xfId="0" applyFont="1" applyFill="1" applyBorder="1" applyAlignment="1">
      <alignment horizontal="center"/>
    </xf>
    <xf numFmtId="14" fontId="51" fillId="0" borderId="6" xfId="2" applyNumberFormat="1" applyFont="1" applyBorder="1" applyAlignment="1">
      <alignment horizontal="center" vertical="center" wrapText="1"/>
    </xf>
    <xf numFmtId="14" fontId="51" fillId="0" borderId="17" xfId="2" applyNumberFormat="1" applyFont="1" applyBorder="1" applyAlignment="1">
      <alignment horizontal="center" vertical="center" wrapText="1"/>
    </xf>
    <xf numFmtId="14" fontId="51" fillId="0" borderId="12" xfId="2" applyNumberFormat="1" applyFont="1" applyBorder="1" applyAlignment="1">
      <alignment horizontal="center" vertical="center" wrapText="1"/>
    </xf>
    <xf numFmtId="0" fontId="47" fillId="0" borderId="5" xfId="2" applyFont="1" applyBorder="1" applyAlignment="1">
      <alignment horizontal="left" vertical="center" wrapText="1"/>
    </xf>
    <xf numFmtId="0" fontId="47" fillId="0" borderId="42" xfId="2" applyFont="1" applyBorder="1" applyAlignment="1">
      <alignment horizontal="left" vertical="center" wrapText="1"/>
    </xf>
    <xf numFmtId="0" fontId="47" fillId="0" borderId="14" xfId="2" applyFont="1" applyBorder="1" applyAlignment="1">
      <alignment horizontal="left" vertical="center" wrapText="1"/>
    </xf>
    <xf numFmtId="0" fontId="47" fillId="0" borderId="6" xfId="2" applyFont="1" applyBorder="1" applyAlignment="1">
      <alignment horizontal="left" vertical="center" wrapText="1"/>
    </xf>
    <xf numFmtId="0" fontId="47" fillId="0" borderId="12" xfId="2" applyFont="1" applyBorder="1" applyAlignment="1">
      <alignment horizontal="left" vertical="center" wrapText="1"/>
    </xf>
    <xf numFmtId="0" fontId="0" fillId="0" borderId="10"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8" fillId="7" borderId="10" xfId="2" applyFont="1" applyFill="1" applyBorder="1" applyAlignment="1">
      <alignment horizontal="center" vertical="center" wrapText="1"/>
    </xf>
    <xf numFmtId="0" fontId="8" fillId="7" borderId="14" xfId="2" applyFont="1" applyFill="1" applyBorder="1" applyAlignment="1">
      <alignment horizontal="center" vertical="center" wrapText="1"/>
    </xf>
    <xf numFmtId="0" fontId="8" fillId="7" borderId="15" xfId="2"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0" xfId="0" applyFont="1" applyFill="1" applyAlignment="1">
      <alignment horizontal="center" vertical="center" wrapText="1"/>
    </xf>
    <xf numFmtId="1" fontId="16" fillId="0" borderId="12" xfId="0" applyNumberFormat="1" applyFont="1" applyBorder="1" applyAlignment="1">
      <alignment horizontal="center" vertical="center" wrapText="1"/>
    </xf>
    <xf numFmtId="1" fontId="4" fillId="11" borderId="12" xfId="0" applyNumberFormat="1" applyFont="1" applyFill="1" applyBorder="1" applyAlignment="1">
      <alignment horizontal="center" wrapText="1"/>
    </xf>
    <xf numFmtId="0" fontId="7" fillId="2" borderId="0" xfId="0" applyFont="1" applyFill="1" applyAlignment="1">
      <alignment horizontal="center" vertical="center" wrapText="1"/>
    </xf>
    <xf numFmtId="0" fontId="7" fillId="2" borderId="37" xfId="0" applyFont="1" applyFill="1" applyBorder="1" applyAlignment="1">
      <alignment horizontal="center" vertical="center" wrapText="1"/>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0" fontId="21" fillId="7" borderId="10" xfId="0" applyFont="1" applyFill="1" applyBorder="1" applyAlignment="1">
      <alignment horizontal="center" vertical="center"/>
    </xf>
    <xf numFmtId="0" fontId="21" fillId="7" borderId="14" xfId="0" applyFont="1" applyFill="1" applyBorder="1" applyAlignment="1">
      <alignment horizontal="center" vertical="center"/>
    </xf>
    <xf numFmtId="0" fontId="21" fillId="7" borderId="15" xfId="0" applyFont="1" applyFill="1" applyBorder="1" applyAlignment="1">
      <alignment horizontal="center" vertical="center"/>
    </xf>
    <xf numFmtId="0" fontId="21" fillId="0" borderId="10" xfId="0" applyFont="1" applyBorder="1" applyAlignment="1">
      <alignment horizontal="center" vertical="center"/>
    </xf>
    <xf numFmtId="0" fontId="21" fillId="0" borderId="15" xfId="0" applyFont="1" applyBorder="1" applyAlignment="1">
      <alignment horizontal="center" vertical="center"/>
    </xf>
    <xf numFmtId="0" fontId="21" fillId="0" borderId="14" xfId="0" applyFont="1" applyBorder="1" applyAlignment="1">
      <alignment horizontal="center" vertical="center"/>
    </xf>
    <xf numFmtId="0" fontId="21" fillId="0" borderId="43" xfId="0" applyFont="1" applyBorder="1" applyAlignment="1">
      <alignment horizontal="center" vertical="center"/>
    </xf>
    <xf numFmtId="0" fontId="21" fillId="0" borderId="42" xfId="0" applyFont="1" applyBorder="1" applyAlignment="1">
      <alignment horizontal="center" vertical="center"/>
    </xf>
    <xf numFmtId="0" fontId="20" fillId="0" borderId="10" xfId="2" applyFont="1" applyBorder="1" applyAlignment="1">
      <alignment horizontal="center" vertical="center" wrapText="1"/>
    </xf>
    <xf numFmtId="0" fontId="20" fillId="0" borderId="14" xfId="2" applyFont="1" applyBorder="1" applyAlignment="1">
      <alignment horizontal="center" vertical="center" wrapText="1"/>
    </xf>
    <xf numFmtId="0" fontId="20" fillId="0" borderId="15" xfId="2" applyFont="1" applyBorder="1" applyAlignment="1">
      <alignment horizontal="center" vertical="center" wrapText="1"/>
    </xf>
    <xf numFmtId="0" fontId="20" fillId="0" borderId="42" xfId="2" applyFont="1" applyBorder="1" applyAlignment="1">
      <alignment horizontal="center" vertical="center" wrapText="1"/>
    </xf>
    <xf numFmtId="0" fontId="22" fillId="7" borderId="10" xfId="2" applyFont="1" applyFill="1" applyBorder="1" applyAlignment="1">
      <alignment horizontal="center" vertical="center" wrapText="1"/>
    </xf>
    <xf numFmtId="0" fontId="22" fillId="7" borderId="14" xfId="2" applyFont="1" applyFill="1" applyBorder="1" applyAlignment="1">
      <alignment horizontal="center" vertical="center" wrapText="1"/>
    </xf>
    <xf numFmtId="0" fontId="22" fillId="7" borderId="15" xfId="2"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4" xfId="0" applyFont="1" applyFill="1" applyBorder="1" applyAlignment="1">
      <alignment horizontal="center" vertical="center" wrapText="1"/>
    </xf>
    <xf numFmtId="0" fontId="22" fillId="7" borderId="15"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42" xfId="0" applyFont="1" applyBorder="1" applyAlignment="1">
      <alignment horizontal="center" vertical="center" wrapText="1"/>
    </xf>
    <xf numFmtId="1" fontId="24" fillId="4" borderId="18" xfId="0" applyNumberFormat="1" applyFont="1" applyFill="1" applyBorder="1" applyAlignment="1">
      <alignment horizontal="center" vertical="center" wrapText="1"/>
    </xf>
    <xf numFmtId="1" fontId="24" fillId="4" borderId="44" xfId="0" applyNumberFormat="1" applyFont="1" applyFill="1" applyBorder="1" applyAlignment="1">
      <alignment horizontal="center" vertical="center" wrapText="1"/>
    </xf>
    <xf numFmtId="1" fontId="24" fillId="4" borderId="31" xfId="0" applyNumberFormat="1" applyFont="1" applyFill="1" applyBorder="1" applyAlignment="1">
      <alignment horizontal="center" vertical="center" wrapText="1"/>
    </xf>
    <xf numFmtId="164" fontId="25" fillId="5" borderId="36" xfId="0" applyNumberFormat="1" applyFont="1" applyFill="1" applyBorder="1" applyAlignment="1">
      <alignment horizontal="center" wrapText="1"/>
    </xf>
    <xf numFmtId="164" fontId="25" fillId="5" borderId="2" xfId="0" applyNumberFormat="1" applyFont="1" applyFill="1" applyBorder="1" applyAlignment="1">
      <alignment horizontal="center" wrapText="1"/>
    </xf>
    <xf numFmtId="164" fontId="25" fillId="5" borderId="3" xfId="0" applyNumberFormat="1" applyFont="1" applyFill="1" applyBorder="1" applyAlignment="1">
      <alignment horizontal="center" wrapText="1"/>
    </xf>
    <xf numFmtId="0" fontId="20" fillId="7" borderId="38" xfId="2" applyFont="1" applyFill="1" applyBorder="1" applyAlignment="1">
      <alignment horizontal="center" vertical="center" wrapText="1"/>
    </xf>
    <xf numFmtId="0" fontId="20" fillId="7" borderId="39" xfId="2" applyFont="1" applyFill="1" applyBorder="1" applyAlignment="1">
      <alignment horizontal="center" vertical="center" wrapText="1"/>
    </xf>
    <xf numFmtId="0" fontId="20" fillId="7" borderId="40" xfId="2" applyFont="1" applyFill="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0" fontId="21" fillId="0" borderId="40" xfId="0" applyFont="1" applyBorder="1" applyAlignment="1">
      <alignment horizontal="center" vertical="center" wrapText="1"/>
    </xf>
    <xf numFmtId="0" fontId="21" fillId="0" borderId="41" xfId="0" applyFont="1" applyBorder="1" applyAlignment="1">
      <alignment horizontal="center" vertical="center" wrapText="1"/>
    </xf>
    <xf numFmtId="0" fontId="20" fillId="7" borderId="10" xfId="2" applyFont="1" applyFill="1" applyBorder="1" applyAlignment="1">
      <alignment horizontal="center" vertical="center" wrapText="1"/>
    </xf>
    <xf numFmtId="0" fontId="20" fillId="7" borderId="14" xfId="2" applyFont="1" applyFill="1" applyBorder="1" applyAlignment="1">
      <alignment horizontal="center" vertical="center" wrapText="1"/>
    </xf>
    <xf numFmtId="0" fontId="20" fillId="7" borderId="15" xfId="2" applyFont="1" applyFill="1" applyBorder="1" applyAlignment="1">
      <alignment horizontal="center" vertical="center" wrapText="1"/>
    </xf>
    <xf numFmtId="0" fontId="20" fillId="7" borderId="12" xfId="2" applyFont="1" applyFill="1" applyBorder="1" applyAlignment="1">
      <alignment horizontal="center" vertical="center" wrapText="1"/>
    </xf>
    <xf numFmtId="0" fontId="20" fillId="7" borderId="12" xfId="0" applyFont="1" applyFill="1" applyBorder="1" applyAlignment="1">
      <alignment horizontal="center" vertical="center" wrapText="1"/>
    </xf>
    <xf numFmtId="0" fontId="23" fillId="0" borderId="12" xfId="0" applyFont="1" applyBorder="1" applyAlignment="1">
      <alignment horizontal="center" vertical="center" wrapText="1"/>
    </xf>
    <xf numFmtId="0" fontId="20" fillId="0" borderId="12" xfId="2" applyFont="1" applyBorder="1" applyAlignment="1">
      <alignment horizontal="center"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 fontId="2" fillId="5" borderId="36" xfId="0" applyNumberFormat="1" applyFont="1" applyFill="1" applyBorder="1" applyAlignment="1">
      <alignment horizontal="center" wrapText="1"/>
    </xf>
    <xf numFmtId="1" fontId="2" fillId="5" borderId="2" xfId="0" applyNumberFormat="1" applyFont="1" applyFill="1" applyBorder="1" applyAlignment="1">
      <alignment horizontal="center" wrapText="1"/>
    </xf>
    <xf numFmtId="1" fontId="2" fillId="5" borderId="3" xfId="0" applyNumberFormat="1" applyFont="1" applyFill="1" applyBorder="1" applyAlignment="1">
      <alignment horizontal="center" wrapText="1"/>
    </xf>
    <xf numFmtId="0" fontId="0" fillId="0" borderId="12" xfId="0" applyBorder="1" applyAlignment="1">
      <alignment horizontal="center" vertical="center"/>
    </xf>
    <xf numFmtId="0" fontId="2" fillId="0" borderId="10"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0" fillId="0" borderId="10" xfId="0" applyBorder="1" applyAlignment="1">
      <alignment horizontal="left" wrapText="1"/>
    </xf>
    <xf numFmtId="0" fontId="0" fillId="0" borderId="15" xfId="0" applyBorder="1" applyAlignment="1">
      <alignment horizontal="left" wrapText="1"/>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1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9" fillId="7" borderId="27" xfId="0" applyFont="1" applyFill="1" applyBorder="1" applyAlignment="1">
      <alignment horizontal="left" vertical="top" wrapText="1"/>
    </xf>
    <xf numFmtId="0" fontId="9" fillId="7" borderId="31" xfId="0" applyFont="1" applyFill="1" applyBorder="1" applyAlignment="1">
      <alignment horizontal="left" vertical="top" wrapText="1"/>
    </xf>
    <xf numFmtId="0" fontId="9" fillId="7" borderId="12" xfId="1" applyFont="1" applyFill="1" applyBorder="1" applyAlignment="1">
      <alignment horizontal="left" vertical="center" wrapText="1"/>
    </xf>
    <xf numFmtId="0" fontId="14" fillId="7" borderId="12" xfId="1" applyFont="1" applyFill="1" applyBorder="1" applyAlignment="1">
      <alignment horizontal="left" vertical="center" wrapText="1"/>
    </xf>
    <xf numFmtId="0" fontId="9" fillId="7" borderId="12" xfId="0" applyFont="1" applyFill="1" applyBorder="1" applyAlignment="1">
      <alignment horizontal="center" vertical="center" wrapText="1"/>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9" fillId="7" borderId="11" xfId="0" applyFont="1" applyFill="1" applyBorder="1" applyAlignment="1">
      <alignment horizontal="center" vertical="center"/>
    </xf>
    <xf numFmtId="0" fontId="9" fillId="0" borderId="11"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9" xfId="0" applyFont="1" applyBorder="1" applyAlignment="1">
      <alignment horizontal="center" vertical="center" wrapText="1"/>
    </xf>
    <xf numFmtId="0" fontId="10" fillId="7" borderId="12" xfId="1" applyFont="1" applyFill="1" applyBorder="1" applyAlignment="1">
      <alignment horizontal="center" vertical="center" wrapText="1"/>
    </xf>
    <xf numFmtId="0" fontId="13" fillId="7" borderId="12" xfId="1"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9" fillId="0" borderId="12" xfId="0" applyFont="1" applyBorder="1" applyAlignment="1">
      <alignment horizontal="left" vertical="top" wrapText="1"/>
    </xf>
    <xf numFmtId="0" fontId="9" fillId="7" borderId="12" xfId="0" applyFont="1" applyFill="1" applyBorder="1" applyAlignment="1">
      <alignment horizontal="left" vertical="center" wrapText="1"/>
    </xf>
    <xf numFmtId="0" fontId="9" fillId="7" borderId="12" xfId="0" applyFont="1" applyFill="1" applyBorder="1" applyAlignment="1">
      <alignment horizontal="left" vertical="top" wrapText="1"/>
    </xf>
    <xf numFmtId="0" fontId="9" fillId="7" borderId="10" xfId="0" applyFont="1" applyFill="1" applyBorder="1" applyAlignment="1">
      <alignment horizontal="center" vertical="top" wrapText="1"/>
    </xf>
    <xf numFmtId="0" fontId="9" fillId="7" borderId="14" xfId="0" applyFont="1" applyFill="1" applyBorder="1" applyAlignment="1">
      <alignment horizontal="center" vertical="top" wrapText="1"/>
    </xf>
    <xf numFmtId="0" fontId="9" fillId="7" borderId="15" xfId="0" applyFont="1" applyFill="1" applyBorder="1" applyAlignment="1">
      <alignment horizontal="center" vertical="top" wrapText="1"/>
    </xf>
    <xf numFmtId="0" fontId="17" fillId="7" borderId="12" xfId="0" applyFont="1" applyFill="1" applyBorder="1" applyAlignment="1">
      <alignment horizontal="left" vertical="top" wrapText="1"/>
    </xf>
    <xf numFmtId="0" fontId="9" fillId="0" borderId="12" xfId="0" applyFont="1" applyBorder="1" applyAlignment="1">
      <alignment horizontal="left" vertical="center" wrapText="1"/>
    </xf>
    <xf numFmtId="0" fontId="2" fillId="0" borderId="1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5" fillId="0" borderId="17" xfId="0" applyFont="1" applyBorder="1" applyAlignment="1">
      <alignment horizontal="center" vertical="center" wrapText="1"/>
    </xf>
    <xf numFmtId="0" fontId="5" fillId="0" borderId="9" xfId="0" applyFont="1" applyBorder="1" applyAlignment="1">
      <alignment horizontal="left" vertical="center" wrapText="1"/>
    </xf>
    <xf numFmtId="0" fontId="5" fillId="0" borderId="13"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0" borderId="8" xfId="0" applyFont="1" applyBorder="1" applyAlignment="1">
      <alignment horizontal="left" vertical="center" wrapText="1"/>
    </xf>
    <xf numFmtId="0" fontId="5" fillId="0" borderId="11" xfId="0" applyFont="1" applyBorder="1" applyAlignment="1">
      <alignment horizontal="left" vertical="center" wrapText="1"/>
    </xf>
    <xf numFmtId="0" fontId="5" fillId="0" borderId="16" xfId="0" applyFont="1" applyBorder="1" applyAlignment="1">
      <alignment horizontal="left" vertical="center" wrapText="1"/>
    </xf>
    <xf numFmtId="0" fontId="5" fillId="0" borderId="6" xfId="0" applyFont="1" applyBorder="1" applyAlignment="1">
      <alignment horizontal="left" vertical="center" wrapText="1"/>
    </xf>
  </cellXfs>
  <cellStyles count="4">
    <cellStyle name="Good" xfId="1" builtinId="26"/>
    <cellStyle name="Normal" xfId="0" builtinId="0"/>
    <cellStyle name="Normal 2" xfId="2" xr:uid="{00000000-0005-0000-0000-000031000000}"/>
    <cellStyle name="Normal 3" xfId="3" xr:uid="{FB361925-4DA2-4CE0-BB93-51E3DC918D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8"/>
  <sheetViews>
    <sheetView topLeftCell="A80" zoomScale="78" workbookViewId="0">
      <selection activeCell="J736" sqref="J736"/>
    </sheetView>
  </sheetViews>
  <sheetFormatPr defaultColWidth="9" defaultRowHeight="13" x14ac:dyDescent="0.3"/>
  <cols>
    <col min="1" max="1" width="32.81640625" style="189" customWidth="1"/>
    <col min="2" max="2" width="35.90625" style="157" customWidth="1"/>
    <col min="3" max="3" width="24.08984375" style="157" customWidth="1"/>
    <col min="4" max="4" width="23.453125" style="157" customWidth="1"/>
    <col min="5" max="5" width="14.81640625" style="157" customWidth="1"/>
    <col min="6" max="6" width="14.453125" style="157" customWidth="1"/>
    <col min="7" max="7" width="18" style="196" customWidth="1"/>
    <col min="8" max="16384" width="9" style="157"/>
  </cols>
  <sheetData>
    <row r="1" spans="1:7" ht="18" customHeight="1" x14ac:dyDescent="0.3">
      <c r="A1" s="255" t="s">
        <v>15</v>
      </c>
      <c r="B1" s="256"/>
      <c r="C1" s="256"/>
      <c r="D1" s="256"/>
      <c r="E1" s="256"/>
      <c r="F1" s="256"/>
      <c r="G1" s="257"/>
    </row>
    <row r="2" spans="1:7" x14ac:dyDescent="0.3">
      <c r="A2" s="258" t="s">
        <v>16</v>
      </c>
      <c r="B2" s="259"/>
      <c r="C2" s="259"/>
      <c r="D2" s="260"/>
      <c r="E2" s="158"/>
      <c r="F2" s="158"/>
      <c r="G2" s="232" t="s">
        <v>17</v>
      </c>
    </row>
    <row r="3" spans="1:7" ht="30.65" customHeight="1" x14ac:dyDescent="0.3">
      <c r="A3" s="160" t="s">
        <v>18</v>
      </c>
      <c r="B3" s="160" t="s">
        <v>19</v>
      </c>
      <c r="C3" s="160" t="s">
        <v>20</v>
      </c>
      <c r="D3" s="160" t="s">
        <v>21</v>
      </c>
      <c r="E3" s="160" t="s">
        <v>22</v>
      </c>
      <c r="F3" s="160" t="s">
        <v>23</v>
      </c>
      <c r="G3" s="232"/>
    </row>
    <row r="4" spans="1:7" ht="26" x14ac:dyDescent="0.3">
      <c r="A4" s="235" t="s">
        <v>24</v>
      </c>
      <c r="B4" s="162" t="s">
        <v>25</v>
      </c>
      <c r="C4" s="163" t="s">
        <v>26</v>
      </c>
      <c r="D4" s="163"/>
      <c r="E4" s="240">
        <v>120</v>
      </c>
      <c r="F4" s="240">
        <v>60</v>
      </c>
      <c r="G4" s="233">
        <v>180</v>
      </c>
    </row>
    <row r="5" spans="1:7" ht="14.4" customHeight="1" x14ac:dyDescent="0.3">
      <c r="A5" s="235"/>
      <c r="B5" s="162" t="s">
        <v>27</v>
      </c>
      <c r="C5" s="246" t="s">
        <v>28</v>
      </c>
      <c r="D5" s="246" t="s">
        <v>29</v>
      </c>
      <c r="E5" s="240"/>
      <c r="F5" s="240"/>
      <c r="G5" s="233"/>
    </row>
    <row r="6" spans="1:7" x14ac:dyDescent="0.3">
      <c r="A6" s="235"/>
      <c r="B6" s="162" t="s">
        <v>30</v>
      </c>
      <c r="C6" s="246"/>
      <c r="D6" s="246"/>
      <c r="E6" s="240"/>
      <c r="F6" s="240"/>
      <c r="G6" s="233"/>
    </row>
    <row r="7" spans="1:7" x14ac:dyDescent="0.3">
      <c r="A7" s="235"/>
      <c r="B7" s="162" t="s">
        <v>31</v>
      </c>
      <c r="C7" s="246"/>
      <c r="D7" s="246"/>
      <c r="E7" s="240"/>
      <c r="F7" s="240"/>
      <c r="G7" s="233"/>
    </row>
    <row r="8" spans="1:7" x14ac:dyDescent="0.3">
      <c r="A8" s="235"/>
      <c r="B8" s="162" t="s">
        <v>32</v>
      </c>
      <c r="C8" s="246"/>
      <c r="D8" s="246"/>
      <c r="E8" s="240"/>
      <c r="F8" s="240"/>
      <c r="G8" s="233"/>
    </row>
    <row r="9" spans="1:7" x14ac:dyDescent="0.3">
      <c r="A9" s="235"/>
      <c r="B9" s="162" t="s">
        <v>33</v>
      </c>
      <c r="C9" s="246"/>
      <c r="D9" s="246"/>
      <c r="E9" s="240"/>
      <c r="F9" s="240"/>
      <c r="G9" s="233"/>
    </row>
    <row r="10" spans="1:7" x14ac:dyDescent="0.3">
      <c r="A10" s="235"/>
      <c r="B10" s="162" t="s">
        <v>34</v>
      </c>
      <c r="C10" s="246"/>
      <c r="D10" s="246"/>
      <c r="E10" s="240"/>
      <c r="F10" s="240"/>
      <c r="G10" s="233"/>
    </row>
    <row r="11" spans="1:7" x14ac:dyDescent="0.3">
      <c r="A11" s="235"/>
      <c r="B11" s="162" t="s">
        <v>35</v>
      </c>
      <c r="C11" s="246"/>
      <c r="D11" s="246"/>
      <c r="E11" s="240"/>
      <c r="F11" s="240"/>
      <c r="G11" s="233"/>
    </row>
    <row r="12" spans="1:7" x14ac:dyDescent="0.3">
      <c r="A12" s="235"/>
      <c r="B12" s="162" t="s">
        <v>36</v>
      </c>
      <c r="C12" s="246"/>
      <c r="D12" s="246"/>
      <c r="E12" s="240"/>
      <c r="F12" s="240"/>
      <c r="G12" s="233"/>
    </row>
    <row r="13" spans="1:7" ht="14.4" customHeight="1" x14ac:dyDescent="0.3">
      <c r="A13" s="235" t="s">
        <v>37</v>
      </c>
      <c r="B13" s="162" t="s">
        <v>38</v>
      </c>
      <c r="C13" s="246" t="s">
        <v>39</v>
      </c>
      <c r="D13" s="246" t="s">
        <v>40</v>
      </c>
      <c r="E13" s="235">
        <v>60</v>
      </c>
      <c r="F13" s="229">
        <v>30</v>
      </c>
      <c r="G13" s="226">
        <v>90</v>
      </c>
    </row>
    <row r="14" spans="1:7" ht="57.9" customHeight="1" x14ac:dyDescent="0.3">
      <c r="A14" s="235"/>
      <c r="B14" s="162" t="s">
        <v>41</v>
      </c>
      <c r="C14" s="246"/>
      <c r="D14" s="246"/>
      <c r="E14" s="235"/>
      <c r="F14" s="230"/>
      <c r="G14" s="227"/>
    </row>
    <row r="15" spans="1:7" x14ac:dyDescent="0.3">
      <c r="A15" s="235"/>
      <c r="B15" s="162" t="s">
        <v>42</v>
      </c>
      <c r="C15" s="246"/>
      <c r="D15" s="246"/>
      <c r="E15" s="235"/>
      <c r="F15" s="231"/>
      <c r="G15" s="228"/>
    </row>
    <row r="16" spans="1:7" ht="14.4" customHeight="1" x14ac:dyDescent="0.3">
      <c r="A16" s="235" t="s">
        <v>43</v>
      </c>
      <c r="B16" s="162" t="s">
        <v>44</v>
      </c>
      <c r="C16" s="251" t="s">
        <v>45</v>
      </c>
      <c r="D16" s="246" t="s">
        <v>914</v>
      </c>
      <c r="E16" s="235">
        <v>60</v>
      </c>
      <c r="F16" s="229">
        <v>60</v>
      </c>
      <c r="G16" s="226">
        <v>120</v>
      </c>
    </row>
    <row r="17" spans="1:7" x14ac:dyDescent="0.3">
      <c r="A17" s="235"/>
      <c r="B17" s="162" t="s">
        <v>46</v>
      </c>
      <c r="C17" s="251"/>
      <c r="D17" s="246"/>
      <c r="E17" s="235"/>
      <c r="F17" s="230"/>
      <c r="G17" s="227"/>
    </row>
    <row r="18" spans="1:7" ht="61.5" customHeight="1" x14ac:dyDescent="0.3">
      <c r="A18" s="235"/>
      <c r="B18" s="162" t="s">
        <v>47</v>
      </c>
      <c r="C18" s="251"/>
      <c r="D18" s="246"/>
      <c r="E18" s="235"/>
      <c r="F18" s="230"/>
      <c r="G18" s="227"/>
    </row>
    <row r="19" spans="1:7" x14ac:dyDescent="0.3">
      <c r="A19" s="235"/>
      <c r="B19" s="162" t="s">
        <v>48</v>
      </c>
      <c r="C19" s="251"/>
      <c r="D19" s="246"/>
      <c r="E19" s="235"/>
      <c r="F19" s="231"/>
      <c r="G19" s="228"/>
    </row>
    <row r="20" spans="1:7" ht="14.4" customHeight="1" x14ac:dyDescent="0.3">
      <c r="A20" s="235" t="s">
        <v>49</v>
      </c>
      <c r="B20" s="162"/>
      <c r="C20" s="246" t="s">
        <v>50</v>
      </c>
      <c r="D20" s="246" t="s">
        <v>915</v>
      </c>
      <c r="E20" s="235">
        <v>60</v>
      </c>
      <c r="F20" s="235">
        <v>60</v>
      </c>
      <c r="G20" s="233">
        <v>120</v>
      </c>
    </row>
    <row r="21" spans="1:7" x14ac:dyDescent="0.3">
      <c r="A21" s="235"/>
      <c r="B21" s="162" t="s">
        <v>51</v>
      </c>
      <c r="C21" s="246"/>
      <c r="D21" s="246"/>
      <c r="E21" s="235"/>
      <c r="F21" s="235"/>
      <c r="G21" s="233"/>
    </row>
    <row r="22" spans="1:7" x14ac:dyDescent="0.3">
      <c r="A22" s="235"/>
      <c r="B22" s="162" t="s">
        <v>52</v>
      </c>
      <c r="C22" s="246"/>
      <c r="D22" s="246"/>
      <c r="E22" s="235"/>
      <c r="F22" s="235"/>
      <c r="G22" s="233"/>
    </row>
    <row r="23" spans="1:7" x14ac:dyDescent="0.3">
      <c r="A23" s="235"/>
      <c r="B23" s="162" t="s">
        <v>53</v>
      </c>
      <c r="C23" s="246"/>
      <c r="D23" s="246"/>
      <c r="E23" s="235"/>
      <c r="F23" s="235"/>
      <c r="G23" s="233"/>
    </row>
    <row r="24" spans="1:7" x14ac:dyDescent="0.3">
      <c r="A24" s="235"/>
      <c r="B24" s="162" t="s">
        <v>54</v>
      </c>
      <c r="C24" s="246"/>
      <c r="D24" s="246"/>
      <c r="E24" s="235"/>
      <c r="F24" s="235"/>
      <c r="G24" s="233"/>
    </row>
    <row r="25" spans="1:7" ht="65" x14ac:dyDescent="0.3">
      <c r="A25" s="161" t="s">
        <v>55</v>
      </c>
      <c r="B25" s="167" t="s">
        <v>56</v>
      </c>
      <c r="C25" s="166" t="s">
        <v>57</v>
      </c>
      <c r="D25" s="166"/>
      <c r="E25" s="161">
        <v>15</v>
      </c>
      <c r="F25" s="161">
        <v>15</v>
      </c>
      <c r="G25" s="165">
        <v>30</v>
      </c>
    </row>
    <row r="26" spans="1:7" x14ac:dyDescent="0.3">
      <c r="A26" s="261" t="s">
        <v>58</v>
      </c>
      <c r="B26" s="262"/>
      <c r="C26" s="262"/>
      <c r="D26" s="262"/>
      <c r="E26" s="262"/>
      <c r="F26" s="262"/>
      <c r="G26" s="263"/>
    </row>
    <row r="27" spans="1:7" x14ac:dyDescent="0.3">
      <c r="A27" s="160" t="s">
        <v>59</v>
      </c>
      <c r="B27" s="168" t="s">
        <v>19</v>
      </c>
      <c r="C27" s="160" t="s">
        <v>20</v>
      </c>
      <c r="D27" s="160" t="s">
        <v>21</v>
      </c>
      <c r="E27" s="160"/>
      <c r="F27" s="160"/>
      <c r="G27" s="160"/>
    </row>
    <row r="28" spans="1:7" ht="14.4" customHeight="1" x14ac:dyDescent="0.3">
      <c r="A28" s="235" t="s">
        <v>60</v>
      </c>
      <c r="B28" s="169"/>
      <c r="C28" s="246" t="s">
        <v>61</v>
      </c>
      <c r="D28" s="166" t="s">
        <v>62</v>
      </c>
      <c r="E28" s="235">
        <v>60</v>
      </c>
      <c r="F28" s="235">
        <v>30</v>
      </c>
      <c r="G28" s="226">
        <v>90</v>
      </c>
    </row>
    <row r="29" spans="1:7" x14ac:dyDescent="0.3">
      <c r="A29" s="235"/>
      <c r="B29" s="169"/>
      <c r="C29" s="246"/>
      <c r="D29" s="166" t="s">
        <v>63</v>
      </c>
      <c r="E29" s="235"/>
      <c r="F29" s="235"/>
      <c r="G29" s="227"/>
    </row>
    <row r="30" spans="1:7" x14ac:dyDescent="0.3">
      <c r="A30" s="235"/>
      <c r="B30" s="163" t="s">
        <v>64</v>
      </c>
      <c r="C30" s="246"/>
      <c r="D30" s="163"/>
      <c r="E30" s="235"/>
      <c r="F30" s="235"/>
      <c r="G30" s="227"/>
    </row>
    <row r="31" spans="1:7" x14ac:dyDescent="0.3">
      <c r="A31" s="235"/>
      <c r="B31" s="163" t="s">
        <v>65</v>
      </c>
      <c r="C31" s="246"/>
      <c r="D31" s="163"/>
      <c r="E31" s="235"/>
      <c r="F31" s="235"/>
      <c r="G31" s="227"/>
    </row>
    <row r="32" spans="1:7" ht="26" x14ac:dyDescent="0.3">
      <c r="A32" s="235"/>
      <c r="B32" s="163" t="s">
        <v>66</v>
      </c>
      <c r="C32" s="246"/>
      <c r="D32" s="163"/>
      <c r="E32" s="235"/>
      <c r="F32" s="235"/>
      <c r="G32" s="227"/>
    </row>
    <row r="33" spans="1:7" ht="26" x14ac:dyDescent="0.3">
      <c r="A33" s="235"/>
      <c r="B33" s="163" t="s">
        <v>67</v>
      </c>
      <c r="C33" s="246"/>
      <c r="D33" s="166"/>
      <c r="E33" s="235"/>
      <c r="F33" s="235"/>
      <c r="G33" s="227"/>
    </row>
    <row r="34" spans="1:7" x14ac:dyDescent="0.3">
      <c r="A34" s="235"/>
      <c r="B34" s="169"/>
      <c r="C34" s="246"/>
      <c r="D34" s="166"/>
      <c r="E34" s="235"/>
      <c r="F34" s="235"/>
      <c r="G34" s="227"/>
    </row>
    <row r="35" spans="1:7" x14ac:dyDescent="0.3">
      <c r="A35" s="235"/>
      <c r="B35" s="169"/>
      <c r="C35" s="246"/>
      <c r="D35" s="166"/>
      <c r="E35" s="235"/>
      <c r="F35" s="235"/>
      <c r="G35" s="227"/>
    </row>
    <row r="36" spans="1:7" x14ac:dyDescent="0.3">
      <c r="A36" s="235"/>
      <c r="B36" s="169"/>
      <c r="C36" s="246"/>
      <c r="D36" s="166"/>
      <c r="E36" s="235"/>
      <c r="F36" s="235"/>
      <c r="G36" s="227"/>
    </row>
    <row r="37" spans="1:7" x14ac:dyDescent="0.3">
      <c r="A37" s="235"/>
      <c r="B37" s="169"/>
      <c r="C37" s="246"/>
      <c r="D37" s="166"/>
      <c r="E37" s="235"/>
      <c r="F37" s="235"/>
      <c r="G37" s="228"/>
    </row>
    <row r="38" spans="1:7" x14ac:dyDescent="0.3">
      <c r="A38" s="235" t="s">
        <v>68</v>
      </c>
      <c r="B38" s="170" t="s">
        <v>69</v>
      </c>
      <c r="C38" s="163"/>
      <c r="D38" s="246" t="s">
        <v>70</v>
      </c>
      <c r="E38" s="235">
        <v>30</v>
      </c>
      <c r="F38" s="235">
        <v>30</v>
      </c>
      <c r="G38" s="226">
        <v>60</v>
      </c>
    </row>
    <row r="39" spans="1:7" ht="26" x14ac:dyDescent="0.3">
      <c r="A39" s="235"/>
      <c r="B39" s="169" t="s">
        <v>71</v>
      </c>
      <c r="C39" s="163" t="s">
        <v>72</v>
      </c>
      <c r="D39" s="246"/>
      <c r="E39" s="235"/>
      <c r="F39" s="235"/>
      <c r="G39" s="228"/>
    </row>
    <row r="40" spans="1:7" ht="26.15" customHeight="1" x14ac:dyDescent="0.3">
      <c r="A40" s="235" t="s">
        <v>73</v>
      </c>
      <c r="B40" s="249" t="s">
        <v>74</v>
      </c>
      <c r="C40" s="246" t="s">
        <v>75</v>
      </c>
      <c r="D40" s="235" t="s">
        <v>76</v>
      </c>
      <c r="E40" s="235">
        <v>60</v>
      </c>
      <c r="F40" s="235">
        <v>60</v>
      </c>
      <c r="G40" s="226">
        <v>120</v>
      </c>
    </row>
    <row r="41" spans="1:7" x14ac:dyDescent="0.3">
      <c r="A41" s="235"/>
      <c r="B41" s="249"/>
      <c r="C41" s="246"/>
      <c r="D41" s="235"/>
      <c r="E41" s="235"/>
      <c r="F41" s="235"/>
      <c r="G41" s="227"/>
    </row>
    <row r="42" spans="1:7" x14ac:dyDescent="0.3">
      <c r="A42" s="235"/>
      <c r="B42" s="169" t="s">
        <v>77</v>
      </c>
      <c r="C42" s="246"/>
      <c r="D42" s="235"/>
      <c r="E42" s="235"/>
      <c r="F42" s="235"/>
      <c r="G42" s="227"/>
    </row>
    <row r="43" spans="1:7" x14ac:dyDescent="0.3">
      <c r="A43" s="235"/>
      <c r="B43" s="169" t="s">
        <v>78</v>
      </c>
      <c r="C43" s="246"/>
      <c r="D43" s="235"/>
      <c r="E43" s="235"/>
      <c r="F43" s="235"/>
      <c r="G43" s="227"/>
    </row>
    <row r="44" spans="1:7" x14ac:dyDescent="0.3">
      <c r="A44" s="235"/>
      <c r="B44" s="169" t="s">
        <v>79</v>
      </c>
      <c r="C44" s="246"/>
      <c r="D44" s="235"/>
      <c r="E44" s="235"/>
      <c r="F44" s="235"/>
      <c r="G44" s="227"/>
    </row>
    <row r="45" spans="1:7" x14ac:dyDescent="0.3">
      <c r="A45" s="235"/>
      <c r="B45" s="169" t="s">
        <v>80</v>
      </c>
      <c r="C45" s="246"/>
      <c r="D45" s="235"/>
      <c r="E45" s="235"/>
      <c r="F45" s="235"/>
      <c r="G45" s="227"/>
    </row>
    <row r="46" spans="1:7" x14ac:dyDescent="0.3">
      <c r="A46" s="235"/>
      <c r="B46" s="169" t="s">
        <v>81</v>
      </c>
      <c r="C46" s="246"/>
      <c r="D46" s="235"/>
      <c r="E46" s="235"/>
      <c r="F46" s="235"/>
      <c r="G46" s="227"/>
    </row>
    <row r="47" spans="1:7" x14ac:dyDescent="0.3">
      <c r="A47" s="235"/>
      <c r="B47" s="169" t="s">
        <v>82</v>
      </c>
      <c r="C47" s="246"/>
      <c r="D47" s="235"/>
      <c r="E47" s="235"/>
      <c r="F47" s="235"/>
      <c r="G47" s="228"/>
    </row>
    <row r="48" spans="1:7" x14ac:dyDescent="0.3">
      <c r="A48" s="264" t="s">
        <v>83</v>
      </c>
      <c r="B48" s="265"/>
      <c r="C48" s="265"/>
      <c r="D48" s="265"/>
      <c r="E48" s="265"/>
      <c r="F48" s="266"/>
      <c r="G48" s="171"/>
    </row>
    <row r="49" spans="1:7" x14ac:dyDescent="0.3">
      <c r="A49" s="160" t="s">
        <v>59</v>
      </c>
      <c r="B49" s="168" t="s">
        <v>19</v>
      </c>
      <c r="C49" s="160" t="s">
        <v>84</v>
      </c>
      <c r="D49" s="160" t="s">
        <v>21</v>
      </c>
      <c r="E49" s="160"/>
      <c r="F49" s="160"/>
      <c r="G49" s="160"/>
    </row>
    <row r="50" spans="1:7" ht="26" x14ac:dyDescent="0.3">
      <c r="A50" s="241" t="s">
        <v>85</v>
      </c>
      <c r="B50" s="172" t="s">
        <v>86</v>
      </c>
      <c r="C50" s="173" t="s">
        <v>87</v>
      </c>
      <c r="D50" s="241" t="s">
        <v>88</v>
      </c>
      <c r="E50" s="241">
        <v>30</v>
      </c>
      <c r="F50" s="241">
        <v>30</v>
      </c>
      <c r="G50" s="233">
        <v>60</v>
      </c>
    </row>
    <row r="51" spans="1:7" ht="26" x14ac:dyDescent="0.3">
      <c r="A51" s="241"/>
      <c r="B51" s="172" t="s">
        <v>89</v>
      </c>
      <c r="C51" s="173" t="s">
        <v>90</v>
      </c>
      <c r="D51" s="241"/>
      <c r="E51" s="241"/>
      <c r="F51" s="241"/>
      <c r="G51" s="233"/>
    </row>
    <row r="52" spans="1:7" ht="26" x14ac:dyDescent="0.3">
      <c r="A52" s="241"/>
      <c r="B52" s="172" t="s">
        <v>91</v>
      </c>
      <c r="C52" s="173" t="s">
        <v>92</v>
      </c>
      <c r="D52" s="241"/>
      <c r="E52" s="241"/>
      <c r="F52" s="241"/>
      <c r="G52" s="233"/>
    </row>
    <row r="53" spans="1:7" x14ac:dyDescent="0.3">
      <c r="A53" s="241"/>
      <c r="B53" s="172" t="s">
        <v>93</v>
      </c>
      <c r="C53" s="173" t="s">
        <v>94</v>
      </c>
      <c r="D53" s="241"/>
      <c r="E53" s="241"/>
      <c r="F53" s="241"/>
      <c r="G53" s="233"/>
    </row>
    <row r="54" spans="1:7" x14ac:dyDescent="0.3">
      <c r="A54" s="241"/>
      <c r="B54" s="172" t="s">
        <v>95</v>
      </c>
      <c r="C54" s="173" t="s">
        <v>96</v>
      </c>
      <c r="D54" s="241"/>
      <c r="E54" s="241"/>
      <c r="F54" s="241"/>
      <c r="G54" s="233"/>
    </row>
    <row r="55" spans="1:7" x14ac:dyDescent="0.3">
      <c r="A55" s="241"/>
      <c r="B55" s="172" t="s">
        <v>97</v>
      </c>
      <c r="C55" s="173" t="s">
        <v>98</v>
      </c>
      <c r="D55" s="241"/>
      <c r="E55" s="241"/>
      <c r="F55" s="241"/>
      <c r="G55" s="233"/>
    </row>
    <row r="56" spans="1:7" ht="26" x14ac:dyDescent="0.3">
      <c r="A56" s="241"/>
      <c r="B56" s="172" t="s">
        <v>99</v>
      </c>
      <c r="C56" s="173" t="s">
        <v>100</v>
      </c>
      <c r="D56" s="241"/>
      <c r="E56" s="241"/>
      <c r="F56" s="241"/>
      <c r="G56" s="233"/>
    </row>
    <row r="57" spans="1:7" ht="14.4" customHeight="1" x14ac:dyDescent="0.3">
      <c r="A57" s="241" t="s">
        <v>101</v>
      </c>
      <c r="B57" s="172" t="s">
        <v>102</v>
      </c>
      <c r="C57" s="173" t="s">
        <v>103</v>
      </c>
      <c r="D57" s="245" t="s">
        <v>104</v>
      </c>
      <c r="E57" s="241">
        <v>30</v>
      </c>
      <c r="F57" s="241">
        <v>30</v>
      </c>
      <c r="G57" s="233">
        <v>60</v>
      </c>
    </row>
    <row r="58" spans="1:7" ht="26" x14ac:dyDescent="0.3">
      <c r="A58" s="241"/>
      <c r="B58" s="172" t="s">
        <v>105</v>
      </c>
      <c r="C58" s="173" t="s">
        <v>106</v>
      </c>
      <c r="D58" s="245"/>
      <c r="E58" s="241"/>
      <c r="F58" s="241"/>
      <c r="G58" s="233"/>
    </row>
    <row r="59" spans="1:7" ht="26" x14ac:dyDescent="0.3">
      <c r="A59" s="241"/>
      <c r="B59" s="172" t="s">
        <v>107</v>
      </c>
      <c r="C59" s="173" t="s">
        <v>108</v>
      </c>
      <c r="D59" s="245"/>
      <c r="E59" s="241"/>
      <c r="F59" s="241"/>
      <c r="G59" s="233"/>
    </row>
    <row r="60" spans="1:7" ht="32.4" customHeight="1" x14ac:dyDescent="0.3">
      <c r="A60" s="241"/>
      <c r="B60" s="172" t="s">
        <v>109</v>
      </c>
      <c r="C60" s="173" t="s">
        <v>110</v>
      </c>
      <c r="D60" s="245"/>
      <c r="E60" s="241"/>
      <c r="F60" s="241"/>
      <c r="G60" s="233"/>
    </row>
    <row r="61" spans="1:7" ht="40.5" customHeight="1" x14ac:dyDescent="0.3">
      <c r="A61" s="241"/>
      <c r="B61" s="172" t="s">
        <v>111</v>
      </c>
      <c r="C61" s="173" t="s">
        <v>112</v>
      </c>
      <c r="D61" s="245"/>
      <c r="E61" s="241"/>
      <c r="F61" s="241"/>
      <c r="G61" s="233"/>
    </row>
    <row r="62" spans="1:7" ht="26.15" customHeight="1" x14ac:dyDescent="0.3">
      <c r="A62" s="241" t="s">
        <v>113</v>
      </c>
      <c r="B62" s="172" t="s">
        <v>114</v>
      </c>
      <c r="C62" s="173" t="s">
        <v>115</v>
      </c>
      <c r="D62" s="245" t="s">
        <v>116</v>
      </c>
      <c r="E62" s="241">
        <v>60</v>
      </c>
      <c r="F62" s="241">
        <v>30</v>
      </c>
      <c r="G62" s="233">
        <v>90</v>
      </c>
    </row>
    <row r="63" spans="1:7" ht="26" x14ac:dyDescent="0.3">
      <c r="A63" s="241"/>
      <c r="B63" s="172" t="s">
        <v>117</v>
      </c>
      <c r="C63" s="173" t="s">
        <v>118</v>
      </c>
      <c r="D63" s="245"/>
      <c r="E63" s="241"/>
      <c r="F63" s="241"/>
      <c r="G63" s="233"/>
    </row>
    <row r="64" spans="1:7" ht="26" x14ac:dyDescent="0.3">
      <c r="A64" s="241"/>
      <c r="B64" s="172" t="s">
        <v>119</v>
      </c>
      <c r="C64" s="173" t="s">
        <v>119</v>
      </c>
      <c r="D64" s="245"/>
      <c r="E64" s="241"/>
      <c r="F64" s="241"/>
      <c r="G64" s="233"/>
    </row>
    <row r="65" spans="1:7" ht="26" x14ac:dyDescent="0.3">
      <c r="A65" s="241"/>
      <c r="B65" s="172" t="s">
        <v>120</v>
      </c>
      <c r="C65" s="173" t="s">
        <v>120</v>
      </c>
      <c r="D65" s="245"/>
      <c r="E65" s="241"/>
      <c r="F65" s="241"/>
      <c r="G65" s="233"/>
    </row>
    <row r="66" spans="1:7" x14ac:dyDescent="0.3">
      <c r="A66" s="241" t="s">
        <v>121</v>
      </c>
      <c r="B66" s="172" t="s">
        <v>122</v>
      </c>
      <c r="C66" s="173" t="s">
        <v>123</v>
      </c>
      <c r="D66" s="245"/>
      <c r="E66" s="242">
        <v>30</v>
      </c>
      <c r="F66" s="242">
        <v>30</v>
      </c>
      <c r="G66" s="226">
        <v>60</v>
      </c>
    </row>
    <row r="67" spans="1:7" x14ac:dyDescent="0.3">
      <c r="A67" s="241"/>
      <c r="B67" s="172" t="s">
        <v>124</v>
      </c>
      <c r="C67" s="173" t="s">
        <v>125</v>
      </c>
      <c r="D67" s="245"/>
      <c r="E67" s="243"/>
      <c r="F67" s="243"/>
      <c r="G67" s="227"/>
    </row>
    <row r="68" spans="1:7" x14ac:dyDescent="0.3">
      <c r="A68" s="241"/>
      <c r="B68" s="172" t="s">
        <v>126</v>
      </c>
      <c r="C68" s="173" t="s">
        <v>127</v>
      </c>
      <c r="D68" s="245"/>
      <c r="E68" s="244"/>
      <c r="F68" s="244"/>
      <c r="G68" s="228"/>
    </row>
    <row r="69" spans="1:7" ht="14.4" customHeight="1" x14ac:dyDescent="0.3">
      <c r="A69" s="241" t="s">
        <v>128</v>
      </c>
      <c r="B69" s="172" t="s">
        <v>129</v>
      </c>
      <c r="C69" s="173" t="s">
        <v>130</v>
      </c>
      <c r="D69" s="245" t="s">
        <v>131</v>
      </c>
      <c r="E69" s="241">
        <v>30</v>
      </c>
      <c r="F69" s="241">
        <v>30</v>
      </c>
      <c r="G69" s="233">
        <v>60</v>
      </c>
    </row>
    <row r="70" spans="1:7" x14ac:dyDescent="0.3">
      <c r="A70" s="241"/>
      <c r="B70" s="172" t="s">
        <v>132</v>
      </c>
      <c r="C70" s="173" t="s">
        <v>133</v>
      </c>
      <c r="D70" s="245"/>
      <c r="E70" s="241"/>
      <c r="F70" s="241"/>
      <c r="G70" s="233"/>
    </row>
    <row r="71" spans="1:7" x14ac:dyDescent="0.3">
      <c r="A71" s="241"/>
      <c r="B71" s="172" t="s">
        <v>134</v>
      </c>
      <c r="C71" s="173" t="s">
        <v>135</v>
      </c>
      <c r="D71" s="245"/>
      <c r="E71" s="241"/>
      <c r="F71" s="241"/>
      <c r="G71" s="233"/>
    </row>
    <row r="72" spans="1:7" ht="26" x14ac:dyDescent="0.3">
      <c r="A72" s="241"/>
      <c r="B72" s="172" t="s">
        <v>136</v>
      </c>
      <c r="C72" s="173" t="s">
        <v>137</v>
      </c>
      <c r="D72" s="245"/>
      <c r="E72" s="241"/>
      <c r="F72" s="241"/>
      <c r="G72" s="233"/>
    </row>
    <row r="73" spans="1:7" x14ac:dyDescent="0.3">
      <c r="A73" s="241"/>
      <c r="B73" s="172" t="s">
        <v>138</v>
      </c>
      <c r="C73" s="173" t="s">
        <v>139</v>
      </c>
      <c r="D73" s="245"/>
      <c r="E73" s="241"/>
      <c r="F73" s="241"/>
      <c r="G73" s="233"/>
    </row>
    <row r="74" spans="1:7" ht="26.15" customHeight="1" x14ac:dyDescent="0.3">
      <c r="A74" s="273" t="s">
        <v>140</v>
      </c>
      <c r="B74" s="167" t="s">
        <v>141</v>
      </c>
      <c r="C74" s="173" t="s">
        <v>142</v>
      </c>
      <c r="D74" s="246" t="s">
        <v>143</v>
      </c>
      <c r="E74" s="235">
        <v>30</v>
      </c>
      <c r="F74" s="235">
        <v>30</v>
      </c>
      <c r="G74" s="233">
        <v>60</v>
      </c>
    </row>
    <row r="75" spans="1:7" ht="26" x14ac:dyDescent="0.3">
      <c r="A75" s="273"/>
      <c r="B75" s="172" t="s">
        <v>144</v>
      </c>
      <c r="C75" s="173" t="s">
        <v>145</v>
      </c>
      <c r="D75" s="246"/>
      <c r="E75" s="235"/>
      <c r="F75" s="235"/>
      <c r="G75" s="233"/>
    </row>
    <row r="76" spans="1:7" x14ac:dyDescent="0.3">
      <c r="A76" s="273"/>
      <c r="B76" s="167" t="s">
        <v>146</v>
      </c>
      <c r="C76" s="173" t="s">
        <v>147</v>
      </c>
      <c r="D76" s="246"/>
      <c r="E76" s="235"/>
      <c r="F76" s="235"/>
      <c r="G76" s="233"/>
    </row>
    <row r="77" spans="1:7" ht="26" x14ac:dyDescent="0.3">
      <c r="A77" s="273"/>
      <c r="B77" s="167" t="s">
        <v>148</v>
      </c>
      <c r="C77" s="173" t="s">
        <v>149</v>
      </c>
      <c r="D77" s="246"/>
      <c r="E77" s="235"/>
      <c r="F77" s="235"/>
      <c r="G77" s="233"/>
    </row>
    <row r="78" spans="1:7" ht="26" x14ac:dyDescent="0.3">
      <c r="A78" s="273"/>
      <c r="B78" s="167" t="s">
        <v>150</v>
      </c>
      <c r="C78" s="173" t="s">
        <v>151</v>
      </c>
      <c r="D78" s="246"/>
      <c r="E78" s="235"/>
      <c r="F78" s="235"/>
      <c r="G78" s="233"/>
    </row>
    <row r="79" spans="1:7" ht="26" x14ac:dyDescent="0.3">
      <c r="A79" s="241" t="s">
        <v>152</v>
      </c>
      <c r="B79" s="172" t="s">
        <v>153</v>
      </c>
      <c r="C79" s="173" t="s">
        <v>154</v>
      </c>
      <c r="D79" s="245" t="s">
        <v>155</v>
      </c>
      <c r="E79" s="241">
        <v>30</v>
      </c>
      <c r="F79" s="241">
        <v>30</v>
      </c>
      <c r="G79" s="233">
        <v>60</v>
      </c>
    </row>
    <row r="80" spans="1:7" x14ac:dyDescent="0.3">
      <c r="A80" s="241"/>
      <c r="B80" s="172" t="s">
        <v>156</v>
      </c>
      <c r="C80" s="173" t="s">
        <v>157</v>
      </c>
      <c r="D80" s="245"/>
      <c r="E80" s="241"/>
      <c r="F80" s="241"/>
      <c r="G80" s="233"/>
    </row>
    <row r="81" spans="1:7" ht="26" x14ac:dyDescent="0.3">
      <c r="A81" s="241"/>
      <c r="B81" s="172" t="s">
        <v>158</v>
      </c>
      <c r="C81" s="173" t="s">
        <v>159</v>
      </c>
      <c r="D81" s="245"/>
      <c r="E81" s="241"/>
      <c r="F81" s="241"/>
      <c r="G81" s="233"/>
    </row>
    <row r="82" spans="1:7" ht="26" x14ac:dyDescent="0.3">
      <c r="A82" s="241"/>
      <c r="B82" s="172" t="s">
        <v>160</v>
      </c>
      <c r="C82" s="173" t="s">
        <v>161</v>
      </c>
      <c r="D82" s="245"/>
      <c r="E82" s="241"/>
      <c r="F82" s="241"/>
      <c r="G82" s="233"/>
    </row>
    <row r="83" spans="1:7" ht="26" x14ac:dyDescent="0.3">
      <c r="A83" s="241"/>
      <c r="B83" s="172" t="s">
        <v>162</v>
      </c>
      <c r="C83" s="173" t="s">
        <v>163</v>
      </c>
      <c r="D83" s="245"/>
      <c r="E83" s="241"/>
      <c r="F83" s="241"/>
      <c r="G83" s="233"/>
    </row>
    <row r="84" spans="1:7" ht="14.4" customHeight="1" x14ac:dyDescent="0.3">
      <c r="A84" s="241" t="s">
        <v>164</v>
      </c>
      <c r="B84" s="172" t="s">
        <v>165</v>
      </c>
      <c r="C84" s="173" t="s">
        <v>166</v>
      </c>
      <c r="D84" s="245" t="s">
        <v>167</v>
      </c>
      <c r="E84" s="241">
        <v>30</v>
      </c>
      <c r="F84" s="241">
        <v>30</v>
      </c>
      <c r="G84" s="233">
        <v>90</v>
      </c>
    </row>
    <row r="85" spans="1:7" ht="26" x14ac:dyDescent="0.3">
      <c r="A85" s="241"/>
      <c r="B85" s="172" t="s">
        <v>168</v>
      </c>
      <c r="C85" s="173" t="s">
        <v>169</v>
      </c>
      <c r="D85" s="245"/>
      <c r="E85" s="241"/>
      <c r="F85" s="241"/>
      <c r="G85" s="233"/>
    </row>
    <row r="86" spans="1:7" ht="26" x14ac:dyDescent="0.3">
      <c r="A86" s="241"/>
      <c r="B86" s="172" t="s">
        <v>170</v>
      </c>
      <c r="C86" s="173" t="s">
        <v>171</v>
      </c>
      <c r="D86" s="245"/>
      <c r="E86" s="241"/>
      <c r="F86" s="241"/>
      <c r="G86" s="233"/>
    </row>
    <row r="87" spans="1:7" ht="26" x14ac:dyDescent="0.3">
      <c r="A87" s="241"/>
      <c r="B87" s="172" t="s">
        <v>172</v>
      </c>
      <c r="C87" s="173" t="s">
        <v>173</v>
      </c>
      <c r="D87" s="245"/>
      <c r="E87" s="241"/>
      <c r="F87" s="241"/>
      <c r="G87" s="233"/>
    </row>
    <row r="88" spans="1:7" x14ac:dyDescent="0.3">
      <c r="A88" s="258" t="s">
        <v>174</v>
      </c>
      <c r="B88" s="259"/>
      <c r="C88" s="259"/>
      <c r="D88" s="260"/>
      <c r="E88" s="174"/>
      <c r="F88" s="174"/>
      <c r="G88" s="159"/>
    </row>
    <row r="89" spans="1:7" x14ac:dyDescent="0.3">
      <c r="A89" s="160" t="s">
        <v>59</v>
      </c>
      <c r="B89" s="168" t="s">
        <v>19</v>
      </c>
      <c r="C89" s="160" t="s">
        <v>20</v>
      </c>
      <c r="D89" s="160" t="s">
        <v>21</v>
      </c>
      <c r="E89" s="160"/>
      <c r="F89" s="160"/>
      <c r="G89" s="160"/>
    </row>
    <row r="90" spans="1:7" ht="104" x14ac:dyDescent="0.3">
      <c r="A90" s="161" t="s">
        <v>175</v>
      </c>
      <c r="B90" s="167" t="s">
        <v>176</v>
      </c>
      <c r="C90" s="166" t="s">
        <v>177</v>
      </c>
      <c r="D90" s="166"/>
      <c r="E90" s="161">
        <v>30</v>
      </c>
      <c r="F90" s="161">
        <v>30</v>
      </c>
      <c r="G90" s="165">
        <v>60</v>
      </c>
    </row>
    <row r="91" spans="1:7" ht="52" x14ac:dyDescent="0.3">
      <c r="A91" s="235" t="s">
        <v>178</v>
      </c>
      <c r="B91" s="166" t="s">
        <v>179</v>
      </c>
      <c r="C91" s="166" t="s">
        <v>180</v>
      </c>
      <c r="D91" s="166" t="s">
        <v>181</v>
      </c>
      <c r="E91" s="161">
        <v>10</v>
      </c>
      <c r="F91" s="161">
        <v>20</v>
      </c>
      <c r="G91" s="165">
        <v>30</v>
      </c>
    </row>
    <row r="92" spans="1:7" ht="65" x14ac:dyDescent="0.3">
      <c r="A92" s="235"/>
      <c r="B92" s="166" t="s">
        <v>182</v>
      </c>
      <c r="C92" s="166" t="s">
        <v>183</v>
      </c>
      <c r="D92" s="166" t="s">
        <v>184</v>
      </c>
      <c r="E92" s="229">
        <v>30</v>
      </c>
      <c r="F92" s="229">
        <v>30</v>
      </c>
      <c r="G92" s="226">
        <v>60</v>
      </c>
    </row>
    <row r="93" spans="1:7" ht="26" x14ac:dyDescent="0.3">
      <c r="A93" s="229"/>
      <c r="B93" s="175" t="s">
        <v>185</v>
      </c>
      <c r="C93" s="175" t="s">
        <v>186</v>
      </c>
      <c r="D93" s="175" t="s">
        <v>187</v>
      </c>
      <c r="E93" s="230"/>
      <c r="F93" s="230"/>
      <c r="G93" s="227"/>
    </row>
    <row r="94" spans="1:7" x14ac:dyDescent="0.3">
      <c r="A94" s="252" t="s">
        <v>188</v>
      </c>
      <c r="B94" s="176" t="s">
        <v>189</v>
      </c>
      <c r="C94" s="176" t="s">
        <v>190</v>
      </c>
      <c r="D94" s="177"/>
      <c r="E94" s="178"/>
      <c r="F94" s="178"/>
      <c r="G94" s="133"/>
    </row>
    <row r="95" spans="1:7" ht="39" customHeight="1" x14ac:dyDescent="0.3">
      <c r="A95" s="253"/>
      <c r="B95" s="166" t="s">
        <v>191</v>
      </c>
      <c r="C95" s="166" t="s">
        <v>192</v>
      </c>
      <c r="D95" s="169"/>
      <c r="E95" s="229">
        <v>30</v>
      </c>
      <c r="F95" s="229">
        <v>30</v>
      </c>
      <c r="G95" s="236">
        <v>60</v>
      </c>
    </row>
    <row r="96" spans="1:7" ht="14.4" customHeight="1" x14ac:dyDescent="0.3">
      <c r="A96" s="253"/>
      <c r="B96" s="166" t="s">
        <v>193</v>
      </c>
      <c r="C96" s="166"/>
      <c r="D96" s="169"/>
      <c r="E96" s="230"/>
      <c r="F96" s="230"/>
      <c r="G96" s="237"/>
    </row>
    <row r="97" spans="1:7" x14ac:dyDescent="0.3">
      <c r="A97" s="253"/>
      <c r="B97" s="166" t="s">
        <v>194</v>
      </c>
      <c r="C97" s="166" t="s">
        <v>195</v>
      </c>
      <c r="D97" s="169"/>
      <c r="E97" s="230"/>
      <c r="F97" s="230"/>
      <c r="G97" s="237"/>
    </row>
    <row r="98" spans="1:7" x14ac:dyDescent="0.3">
      <c r="A98" s="253"/>
      <c r="B98" s="166" t="s">
        <v>196</v>
      </c>
      <c r="C98" s="166" t="s">
        <v>197</v>
      </c>
      <c r="D98" s="166" t="s">
        <v>196</v>
      </c>
      <c r="E98" s="230"/>
      <c r="F98" s="230"/>
      <c r="G98" s="237"/>
    </row>
    <row r="99" spans="1:7" x14ac:dyDescent="0.3">
      <c r="A99" s="253"/>
      <c r="B99" s="166" t="s">
        <v>198</v>
      </c>
      <c r="C99" s="166" t="s">
        <v>199</v>
      </c>
      <c r="D99" s="169"/>
      <c r="E99" s="231"/>
      <c r="F99" s="231"/>
      <c r="G99" s="238"/>
    </row>
    <row r="100" spans="1:7" ht="52" x14ac:dyDescent="0.3">
      <c r="A100" s="253"/>
      <c r="B100" s="166" t="s">
        <v>200</v>
      </c>
      <c r="C100" s="166" t="s">
        <v>201</v>
      </c>
      <c r="D100" s="169"/>
      <c r="E100" s="229">
        <v>30</v>
      </c>
      <c r="F100" s="229">
        <v>30</v>
      </c>
      <c r="G100" s="236">
        <v>60</v>
      </c>
    </row>
    <row r="101" spans="1:7" x14ac:dyDescent="0.3">
      <c r="A101" s="253"/>
      <c r="B101" s="166" t="s">
        <v>202</v>
      </c>
      <c r="C101" s="166" t="s">
        <v>203</v>
      </c>
      <c r="D101" s="169"/>
      <c r="E101" s="230"/>
      <c r="F101" s="230"/>
      <c r="G101" s="237"/>
    </row>
    <row r="102" spans="1:7" ht="26" x14ac:dyDescent="0.3">
      <c r="A102" s="253"/>
      <c r="B102" s="166" t="s">
        <v>204</v>
      </c>
      <c r="C102" s="166"/>
      <c r="D102" s="166" t="s">
        <v>204</v>
      </c>
      <c r="E102" s="230"/>
      <c r="F102" s="230"/>
      <c r="G102" s="237"/>
    </row>
    <row r="103" spans="1:7" ht="26.15" customHeight="1" x14ac:dyDescent="0.3">
      <c r="A103" s="253"/>
      <c r="B103" s="166" t="s">
        <v>205</v>
      </c>
      <c r="C103" s="166" t="s">
        <v>206</v>
      </c>
      <c r="D103" s="169"/>
      <c r="E103" s="230"/>
      <c r="F103" s="230"/>
      <c r="G103" s="237"/>
    </row>
    <row r="104" spans="1:7" ht="14.4" customHeight="1" x14ac:dyDescent="0.3">
      <c r="A104" s="253"/>
      <c r="B104" s="167" t="s">
        <v>207</v>
      </c>
      <c r="C104" s="246" t="s">
        <v>208</v>
      </c>
      <c r="D104" s="166"/>
      <c r="E104" s="230"/>
      <c r="F104" s="230"/>
      <c r="G104" s="237"/>
    </row>
    <row r="105" spans="1:7" x14ac:dyDescent="0.3">
      <c r="A105" s="253"/>
      <c r="B105" s="167" t="s">
        <v>209</v>
      </c>
      <c r="C105" s="246"/>
      <c r="D105" s="166"/>
      <c r="E105" s="230"/>
      <c r="F105" s="230"/>
      <c r="G105" s="237"/>
    </row>
    <row r="106" spans="1:7" ht="26" x14ac:dyDescent="0.3">
      <c r="A106" s="253"/>
      <c r="B106" s="166" t="s">
        <v>210</v>
      </c>
      <c r="C106" s="246"/>
      <c r="D106" s="166"/>
      <c r="E106" s="230"/>
      <c r="F106" s="230"/>
      <c r="G106" s="237"/>
    </row>
    <row r="107" spans="1:7" x14ac:dyDescent="0.3">
      <c r="A107" s="253"/>
      <c r="B107" s="166" t="s">
        <v>211</v>
      </c>
      <c r="C107" s="166"/>
      <c r="D107" s="169"/>
      <c r="E107" s="231"/>
      <c r="F107" s="231"/>
      <c r="G107" s="238"/>
    </row>
    <row r="108" spans="1:7" ht="52" x14ac:dyDescent="0.3">
      <c r="A108" s="253"/>
      <c r="B108" s="166" t="s">
        <v>212</v>
      </c>
      <c r="C108" s="166" t="s">
        <v>213</v>
      </c>
      <c r="D108" s="169"/>
      <c r="E108" s="229">
        <v>30</v>
      </c>
      <c r="F108" s="229">
        <v>30</v>
      </c>
      <c r="G108" s="236">
        <v>60</v>
      </c>
    </row>
    <row r="109" spans="1:7" ht="39" customHeight="1" x14ac:dyDescent="0.3">
      <c r="A109" s="253"/>
      <c r="B109" s="166" t="s">
        <v>214</v>
      </c>
      <c r="C109" s="246" t="s">
        <v>215</v>
      </c>
      <c r="D109" s="166" t="s">
        <v>216</v>
      </c>
      <c r="E109" s="230"/>
      <c r="F109" s="230"/>
      <c r="G109" s="237"/>
    </row>
    <row r="110" spans="1:7" x14ac:dyDescent="0.3">
      <c r="A110" s="253"/>
      <c r="B110" s="167" t="s">
        <v>217</v>
      </c>
      <c r="C110" s="246"/>
      <c r="D110" s="166"/>
      <c r="E110" s="230"/>
      <c r="F110" s="230"/>
      <c r="G110" s="237"/>
    </row>
    <row r="111" spans="1:7" ht="26" x14ac:dyDescent="0.3">
      <c r="A111" s="253"/>
      <c r="B111" s="166" t="s">
        <v>218</v>
      </c>
      <c r="C111" s="246"/>
      <c r="D111" s="166" t="s">
        <v>219</v>
      </c>
      <c r="E111" s="230"/>
      <c r="F111" s="230"/>
      <c r="G111" s="237"/>
    </row>
    <row r="112" spans="1:7" x14ac:dyDescent="0.3">
      <c r="A112" s="253"/>
      <c r="B112" s="250" t="s">
        <v>220</v>
      </c>
      <c r="C112" s="246"/>
      <c r="D112" s="166" t="s">
        <v>221</v>
      </c>
      <c r="E112" s="230"/>
      <c r="F112" s="230"/>
      <c r="G112" s="237"/>
    </row>
    <row r="113" spans="1:7" ht="26" x14ac:dyDescent="0.3">
      <c r="A113" s="253"/>
      <c r="B113" s="250"/>
      <c r="C113" s="246"/>
      <c r="D113" s="166" t="s">
        <v>222</v>
      </c>
      <c r="E113" s="230"/>
      <c r="F113" s="230"/>
      <c r="G113" s="237"/>
    </row>
    <row r="114" spans="1:7" x14ac:dyDescent="0.3">
      <c r="A114" s="254"/>
      <c r="B114" s="179" t="s">
        <v>223</v>
      </c>
      <c r="C114" s="179"/>
      <c r="D114" s="180"/>
      <c r="E114" s="247"/>
      <c r="F114" s="247"/>
      <c r="G114" s="239"/>
    </row>
    <row r="115" spans="1:7" ht="52" x14ac:dyDescent="0.3">
      <c r="A115" s="231" t="s">
        <v>224</v>
      </c>
      <c r="B115" s="181" t="s">
        <v>225</v>
      </c>
      <c r="C115" s="181" t="s">
        <v>226</v>
      </c>
      <c r="D115" s="181" t="s">
        <v>227</v>
      </c>
      <c r="E115" s="248">
        <v>60</v>
      </c>
      <c r="F115" s="248">
        <v>30</v>
      </c>
      <c r="G115" s="234">
        <v>90</v>
      </c>
    </row>
    <row r="116" spans="1:7" x14ac:dyDescent="0.3">
      <c r="A116" s="235"/>
      <c r="B116" s="166" t="s">
        <v>228</v>
      </c>
      <c r="C116" s="166" t="s">
        <v>229</v>
      </c>
      <c r="D116" s="166" t="s">
        <v>230</v>
      </c>
      <c r="E116" s="230"/>
      <c r="F116" s="230"/>
      <c r="G116" s="227"/>
    </row>
    <row r="117" spans="1:7" ht="26" x14ac:dyDescent="0.3">
      <c r="A117" s="235"/>
      <c r="B117" s="166" t="s">
        <v>231</v>
      </c>
      <c r="C117" s="166" t="s">
        <v>232</v>
      </c>
      <c r="D117" s="166" t="s">
        <v>233</v>
      </c>
      <c r="E117" s="230"/>
      <c r="F117" s="230"/>
      <c r="G117" s="227"/>
    </row>
    <row r="118" spans="1:7" ht="52" x14ac:dyDescent="0.3">
      <c r="A118" s="235"/>
      <c r="B118" s="166" t="s">
        <v>234</v>
      </c>
      <c r="C118" s="166" t="s">
        <v>235</v>
      </c>
      <c r="D118" s="166" t="s">
        <v>236</v>
      </c>
      <c r="E118" s="230"/>
      <c r="F118" s="230"/>
      <c r="G118" s="227"/>
    </row>
    <row r="119" spans="1:7" ht="52" x14ac:dyDescent="0.3">
      <c r="A119" s="235"/>
      <c r="B119" s="166" t="s">
        <v>237</v>
      </c>
      <c r="C119" s="166" t="s">
        <v>238</v>
      </c>
      <c r="D119" s="169"/>
      <c r="E119" s="230"/>
      <c r="F119" s="230"/>
      <c r="G119" s="227"/>
    </row>
    <row r="120" spans="1:7" ht="26.15" customHeight="1" x14ac:dyDescent="0.3">
      <c r="A120" s="235"/>
      <c r="B120" s="166" t="s">
        <v>239</v>
      </c>
      <c r="C120" s="166" t="s">
        <v>240</v>
      </c>
      <c r="D120" s="169"/>
      <c r="E120" s="230"/>
      <c r="F120" s="230"/>
      <c r="G120" s="227"/>
    </row>
    <row r="121" spans="1:7" ht="51.9" customHeight="1" x14ac:dyDescent="0.3">
      <c r="A121" s="235"/>
      <c r="B121" s="166" t="s">
        <v>241</v>
      </c>
      <c r="C121" s="166" t="s">
        <v>242</v>
      </c>
      <c r="D121" s="169"/>
      <c r="E121" s="230"/>
      <c r="F121" s="230"/>
      <c r="G121" s="227"/>
    </row>
    <row r="122" spans="1:7" x14ac:dyDescent="0.3">
      <c r="A122" s="235"/>
      <c r="B122" s="166" t="s">
        <v>243</v>
      </c>
      <c r="C122" s="166"/>
      <c r="D122" s="169"/>
      <c r="E122" s="230"/>
      <c r="F122" s="230"/>
      <c r="G122" s="227"/>
    </row>
    <row r="123" spans="1:7" x14ac:dyDescent="0.3">
      <c r="A123" s="235"/>
      <c r="B123" s="166" t="s">
        <v>244</v>
      </c>
      <c r="C123" s="166" t="s">
        <v>245</v>
      </c>
      <c r="D123" s="166" t="s">
        <v>246</v>
      </c>
      <c r="E123" s="230"/>
      <c r="F123" s="230"/>
      <c r="G123" s="227"/>
    </row>
    <row r="124" spans="1:7" x14ac:dyDescent="0.3">
      <c r="A124" s="235"/>
      <c r="B124" s="166" t="s">
        <v>247</v>
      </c>
      <c r="C124" s="166"/>
      <c r="D124" s="166" t="s">
        <v>248</v>
      </c>
      <c r="E124" s="230"/>
      <c r="F124" s="230"/>
      <c r="G124" s="227"/>
    </row>
    <row r="125" spans="1:7" x14ac:dyDescent="0.3">
      <c r="A125" s="235"/>
      <c r="B125" s="166" t="s">
        <v>249</v>
      </c>
      <c r="C125" s="166" t="s">
        <v>250</v>
      </c>
      <c r="D125" s="166" t="s">
        <v>251</v>
      </c>
      <c r="E125" s="230"/>
      <c r="F125" s="230"/>
      <c r="G125" s="227"/>
    </row>
    <row r="126" spans="1:7" ht="26" x14ac:dyDescent="0.3">
      <c r="A126" s="235"/>
      <c r="B126" s="166" t="s">
        <v>252</v>
      </c>
      <c r="C126" s="166" t="s">
        <v>253</v>
      </c>
      <c r="D126" s="166"/>
      <c r="E126" s="230"/>
      <c r="F126" s="230"/>
      <c r="G126" s="227"/>
    </row>
    <row r="127" spans="1:7" ht="52" x14ac:dyDescent="0.3">
      <c r="A127" s="235"/>
      <c r="B127" s="166" t="s">
        <v>254</v>
      </c>
      <c r="C127" s="166" t="s">
        <v>255</v>
      </c>
      <c r="D127" s="169"/>
      <c r="E127" s="230"/>
      <c r="F127" s="230"/>
      <c r="G127" s="227"/>
    </row>
    <row r="128" spans="1:7" x14ac:dyDescent="0.3">
      <c r="A128" s="235"/>
      <c r="B128" s="166" t="s">
        <v>256</v>
      </c>
      <c r="C128" s="166"/>
      <c r="D128" s="169"/>
      <c r="E128" s="230"/>
      <c r="F128" s="230"/>
      <c r="G128" s="227"/>
    </row>
    <row r="129" spans="1:7" ht="14.4" customHeight="1" x14ac:dyDescent="0.3">
      <c r="A129" s="235"/>
      <c r="B129" s="166" t="s">
        <v>257</v>
      </c>
      <c r="C129" s="246" t="s">
        <v>258</v>
      </c>
      <c r="D129" s="246" t="s">
        <v>259</v>
      </c>
      <c r="E129" s="230"/>
      <c r="F129" s="230"/>
      <c r="G129" s="227"/>
    </row>
    <row r="130" spans="1:7" x14ac:dyDescent="0.3">
      <c r="A130" s="235"/>
      <c r="B130" s="166" t="s">
        <v>260</v>
      </c>
      <c r="C130" s="246"/>
      <c r="D130" s="246"/>
      <c r="E130" s="230"/>
      <c r="F130" s="230"/>
      <c r="G130" s="227"/>
    </row>
    <row r="131" spans="1:7" x14ac:dyDescent="0.3">
      <c r="A131" s="235"/>
      <c r="B131" s="167" t="s">
        <v>261</v>
      </c>
      <c r="C131" s="246"/>
      <c r="D131" s="246"/>
      <c r="E131" s="230"/>
      <c r="F131" s="230"/>
      <c r="G131" s="227"/>
    </row>
    <row r="132" spans="1:7" x14ac:dyDescent="0.3">
      <c r="A132" s="235"/>
      <c r="B132" s="167" t="s">
        <v>262</v>
      </c>
      <c r="C132" s="246"/>
      <c r="D132" s="246"/>
      <c r="E132" s="230"/>
      <c r="F132" s="230"/>
      <c r="G132" s="227"/>
    </row>
    <row r="133" spans="1:7" x14ac:dyDescent="0.3">
      <c r="A133" s="235"/>
      <c r="B133" s="167" t="s">
        <v>263</v>
      </c>
      <c r="C133" s="246"/>
      <c r="D133" s="246"/>
      <c r="E133" s="230"/>
      <c r="F133" s="230"/>
      <c r="G133" s="227"/>
    </row>
    <row r="134" spans="1:7" x14ac:dyDescent="0.3">
      <c r="A134" s="235"/>
      <c r="B134" s="166" t="s">
        <v>264</v>
      </c>
      <c r="C134" s="246"/>
      <c r="D134" s="246"/>
      <c r="E134" s="231"/>
      <c r="F134" s="231"/>
      <c r="G134" s="228"/>
    </row>
    <row r="135" spans="1:7" x14ac:dyDescent="0.3">
      <c r="A135" s="235"/>
      <c r="B135" s="166" t="s">
        <v>265</v>
      </c>
      <c r="C135" s="166"/>
      <c r="D135" s="169"/>
      <c r="E135" s="235">
        <v>20</v>
      </c>
      <c r="F135" s="235">
        <v>10</v>
      </c>
      <c r="G135" s="233">
        <v>30</v>
      </c>
    </row>
    <row r="136" spans="1:7" ht="26.15" customHeight="1" x14ac:dyDescent="0.3">
      <c r="A136" s="235"/>
      <c r="B136" s="167" t="s">
        <v>266</v>
      </c>
      <c r="C136" s="246" t="s">
        <v>267</v>
      </c>
      <c r="D136" s="166" t="s">
        <v>268</v>
      </c>
      <c r="E136" s="235"/>
      <c r="F136" s="235"/>
      <c r="G136" s="233"/>
    </row>
    <row r="137" spans="1:7" ht="39" x14ac:dyDescent="0.3">
      <c r="A137" s="235"/>
      <c r="B137" s="167" t="s">
        <v>269</v>
      </c>
      <c r="C137" s="246"/>
      <c r="D137" s="166" t="s">
        <v>270</v>
      </c>
      <c r="E137" s="235"/>
      <c r="F137" s="235"/>
      <c r="G137" s="233"/>
    </row>
    <row r="138" spans="1:7" x14ac:dyDescent="0.3">
      <c r="A138" s="235"/>
      <c r="B138" s="167" t="s">
        <v>271</v>
      </c>
      <c r="C138" s="246"/>
      <c r="D138" s="166"/>
      <c r="E138" s="235"/>
      <c r="F138" s="235"/>
      <c r="G138" s="233"/>
    </row>
    <row r="139" spans="1:7" ht="26" x14ac:dyDescent="0.3">
      <c r="A139" s="235"/>
      <c r="B139" s="166" t="s">
        <v>272</v>
      </c>
      <c r="C139" s="246"/>
      <c r="D139" s="166" t="s">
        <v>273</v>
      </c>
      <c r="E139" s="235"/>
      <c r="F139" s="235"/>
      <c r="G139" s="233"/>
    </row>
    <row r="140" spans="1:7" ht="78" x14ac:dyDescent="0.3">
      <c r="A140" s="235" t="s">
        <v>274</v>
      </c>
      <c r="B140" s="166" t="s">
        <v>275</v>
      </c>
      <c r="C140" s="166" t="s">
        <v>276</v>
      </c>
      <c r="D140" s="169"/>
      <c r="E140" s="235">
        <v>30</v>
      </c>
      <c r="F140" s="235">
        <v>30</v>
      </c>
      <c r="G140" s="233">
        <v>60</v>
      </c>
    </row>
    <row r="141" spans="1:7" ht="52" x14ac:dyDescent="0.3">
      <c r="A141" s="235"/>
      <c r="B141" s="166" t="s">
        <v>277</v>
      </c>
      <c r="C141" s="166" t="s">
        <v>278</v>
      </c>
      <c r="D141" s="169"/>
      <c r="E141" s="235"/>
      <c r="F141" s="235"/>
      <c r="G141" s="233"/>
    </row>
    <row r="142" spans="1:7" ht="65" x14ac:dyDescent="0.3">
      <c r="A142" s="235"/>
      <c r="B142" s="166" t="s">
        <v>279</v>
      </c>
      <c r="C142" s="166" t="s">
        <v>280</v>
      </c>
      <c r="D142" s="166" t="s">
        <v>281</v>
      </c>
      <c r="E142" s="235">
        <v>30</v>
      </c>
      <c r="F142" s="235">
        <v>30</v>
      </c>
      <c r="G142" s="233">
        <v>60</v>
      </c>
    </row>
    <row r="143" spans="1:7" x14ac:dyDescent="0.3">
      <c r="A143" s="235"/>
      <c r="B143" s="166" t="s">
        <v>282</v>
      </c>
      <c r="C143" s="166" t="s">
        <v>283</v>
      </c>
      <c r="D143" s="169"/>
      <c r="E143" s="235"/>
      <c r="F143" s="235"/>
      <c r="G143" s="233"/>
    </row>
    <row r="144" spans="1:7" ht="39" x14ac:dyDescent="0.3">
      <c r="A144" s="235"/>
      <c r="B144" s="166" t="s">
        <v>284</v>
      </c>
      <c r="C144" s="166"/>
      <c r="D144" s="166" t="s">
        <v>284</v>
      </c>
      <c r="E144" s="235"/>
      <c r="F144" s="235"/>
      <c r="G144" s="233"/>
    </row>
    <row r="145" spans="1:7" ht="78" x14ac:dyDescent="0.3">
      <c r="A145" s="235" t="s">
        <v>285</v>
      </c>
      <c r="B145" s="166" t="s">
        <v>286</v>
      </c>
      <c r="C145" s="166" t="s">
        <v>287</v>
      </c>
      <c r="D145" s="166"/>
      <c r="E145" s="229">
        <v>60</v>
      </c>
      <c r="F145" s="229">
        <v>30</v>
      </c>
      <c r="G145" s="226">
        <v>90</v>
      </c>
    </row>
    <row r="146" spans="1:7" ht="52" x14ac:dyDescent="0.3">
      <c r="A146" s="235"/>
      <c r="B146" s="166" t="s">
        <v>288</v>
      </c>
      <c r="C146" s="166" t="s">
        <v>289</v>
      </c>
      <c r="D146" s="166" t="s">
        <v>289</v>
      </c>
      <c r="E146" s="231"/>
      <c r="F146" s="231"/>
      <c r="G146" s="228"/>
    </row>
    <row r="147" spans="1:7" ht="14.4" customHeight="1" x14ac:dyDescent="0.3">
      <c r="A147" s="235" t="s">
        <v>290</v>
      </c>
      <c r="B147" s="166" t="s">
        <v>291</v>
      </c>
      <c r="C147" s="246" t="s">
        <v>292</v>
      </c>
      <c r="D147" s="169"/>
      <c r="E147" s="235">
        <v>30</v>
      </c>
      <c r="F147" s="235">
        <v>30</v>
      </c>
      <c r="G147" s="233">
        <v>60</v>
      </c>
    </row>
    <row r="148" spans="1:7" x14ac:dyDescent="0.3">
      <c r="A148" s="235"/>
      <c r="B148" s="167" t="s">
        <v>293</v>
      </c>
      <c r="C148" s="246"/>
      <c r="D148" s="166" t="s">
        <v>294</v>
      </c>
      <c r="E148" s="235"/>
      <c r="F148" s="235"/>
      <c r="G148" s="233"/>
    </row>
    <row r="149" spans="1:7" x14ac:dyDescent="0.3">
      <c r="A149" s="235"/>
      <c r="B149" s="167" t="s">
        <v>295</v>
      </c>
      <c r="C149" s="246"/>
      <c r="D149" s="166" t="s">
        <v>296</v>
      </c>
      <c r="E149" s="235"/>
      <c r="F149" s="235"/>
      <c r="G149" s="233"/>
    </row>
    <row r="150" spans="1:7" ht="26" x14ac:dyDescent="0.3">
      <c r="A150" s="235"/>
      <c r="B150" s="166" t="s">
        <v>297</v>
      </c>
      <c r="C150" s="246"/>
      <c r="D150" s="166" t="s">
        <v>298</v>
      </c>
      <c r="E150" s="235"/>
      <c r="F150" s="235"/>
      <c r="G150" s="233"/>
    </row>
    <row r="151" spans="1:7" ht="26" x14ac:dyDescent="0.3">
      <c r="A151" s="235"/>
      <c r="B151" s="167" t="s">
        <v>299</v>
      </c>
      <c r="C151" s="246"/>
      <c r="D151" s="166" t="s">
        <v>300</v>
      </c>
      <c r="E151" s="235"/>
      <c r="F151" s="235"/>
      <c r="G151" s="233"/>
    </row>
    <row r="152" spans="1:7" ht="26" x14ac:dyDescent="0.3">
      <c r="A152" s="235"/>
      <c r="B152" s="167" t="s">
        <v>301</v>
      </c>
      <c r="C152" s="246"/>
      <c r="D152" s="166" t="s">
        <v>302</v>
      </c>
      <c r="E152" s="235"/>
      <c r="F152" s="235"/>
      <c r="G152" s="233"/>
    </row>
    <row r="153" spans="1:7" ht="39" x14ac:dyDescent="0.3">
      <c r="A153" s="235"/>
      <c r="B153" s="166" t="s">
        <v>303</v>
      </c>
      <c r="C153" s="246"/>
      <c r="D153" s="166" t="s">
        <v>304</v>
      </c>
      <c r="E153" s="235"/>
      <c r="F153" s="235"/>
      <c r="G153" s="233"/>
    </row>
    <row r="154" spans="1:7" x14ac:dyDescent="0.3">
      <c r="A154" s="235"/>
      <c r="B154" s="167" t="s">
        <v>305</v>
      </c>
      <c r="C154" s="246"/>
      <c r="D154" s="166"/>
      <c r="E154" s="229">
        <v>30</v>
      </c>
      <c r="F154" s="229">
        <v>30</v>
      </c>
      <c r="G154" s="226">
        <v>60</v>
      </c>
    </row>
    <row r="155" spans="1:7" x14ac:dyDescent="0.3">
      <c r="A155" s="235"/>
      <c r="B155" s="166" t="s">
        <v>306</v>
      </c>
      <c r="C155" s="246"/>
      <c r="D155" s="166"/>
      <c r="E155" s="230"/>
      <c r="F155" s="230"/>
      <c r="G155" s="227"/>
    </row>
    <row r="156" spans="1:7" x14ac:dyDescent="0.3">
      <c r="A156" s="235" t="s">
        <v>307</v>
      </c>
      <c r="B156" s="166" t="s">
        <v>308</v>
      </c>
      <c r="C156" s="166"/>
      <c r="D156" s="169"/>
      <c r="E156" s="230"/>
      <c r="F156" s="230"/>
      <c r="G156" s="227"/>
    </row>
    <row r="157" spans="1:7" ht="14.4" customHeight="1" x14ac:dyDescent="0.3">
      <c r="A157" s="235"/>
      <c r="B157" s="166" t="s">
        <v>309</v>
      </c>
      <c r="C157" s="246" t="s">
        <v>310</v>
      </c>
      <c r="D157" s="166"/>
      <c r="E157" s="230"/>
      <c r="F157" s="230"/>
      <c r="G157" s="227"/>
    </row>
    <row r="158" spans="1:7" ht="26" x14ac:dyDescent="0.3">
      <c r="A158" s="235"/>
      <c r="B158" s="166" t="s">
        <v>311</v>
      </c>
      <c r="C158" s="246"/>
      <c r="D158" s="166" t="s">
        <v>312</v>
      </c>
      <c r="E158" s="230"/>
      <c r="F158" s="230"/>
      <c r="G158" s="227"/>
    </row>
    <row r="159" spans="1:7" ht="26" x14ac:dyDescent="0.3">
      <c r="A159" s="235"/>
      <c r="B159" s="166" t="s">
        <v>313</v>
      </c>
      <c r="C159" s="246"/>
      <c r="D159" s="166" t="s">
        <v>314</v>
      </c>
      <c r="E159" s="230"/>
      <c r="F159" s="230"/>
      <c r="G159" s="227"/>
    </row>
    <row r="160" spans="1:7" ht="26.15" customHeight="1" x14ac:dyDescent="0.3">
      <c r="A160" s="235"/>
      <c r="B160" s="166" t="s">
        <v>315</v>
      </c>
      <c r="C160" s="246" t="s">
        <v>316</v>
      </c>
      <c r="D160" s="166" t="s">
        <v>317</v>
      </c>
      <c r="E160" s="230"/>
      <c r="F160" s="230"/>
      <c r="G160" s="227"/>
    </row>
    <row r="161" spans="1:7" x14ac:dyDescent="0.3">
      <c r="A161" s="235"/>
      <c r="B161" s="166" t="s">
        <v>318</v>
      </c>
      <c r="C161" s="246"/>
      <c r="D161" s="166" t="s">
        <v>319</v>
      </c>
      <c r="E161" s="230"/>
      <c r="F161" s="230"/>
      <c r="G161" s="227"/>
    </row>
    <row r="162" spans="1:7" ht="26" x14ac:dyDescent="0.3">
      <c r="A162" s="235"/>
      <c r="B162" s="167"/>
      <c r="C162" s="246"/>
      <c r="D162" s="166" t="s">
        <v>320</v>
      </c>
      <c r="E162" s="231"/>
      <c r="F162" s="231"/>
      <c r="G162" s="228"/>
    </row>
    <row r="163" spans="1:7" ht="14.4" customHeight="1" x14ac:dyDescent="0.3">
      <c r="A163" s="235" t="s">
        <v>321</v>
      </c>
      <c r="B163" s="167" t="s">
        <v>322</v>
      </c>
      <c r="C163" s="166"/>
      <c r="D163" s="166"/>
      <c r="E163" s="235">
        <v>20</v>
      </c>
      <c r="F163" s="235">
        <v>20</v>
      </c>
      <c r="G163" s="233">
        <v>40</v>
      </c>
    </row>
    <row r="164" spans="1:7" ht="39" customHeight="1" x14ac:dyDescent="0.3">
      <c r="A164" s="235"/>
      <c r="B164" s="166" t="s">
        <v>323</v>
      </c>
      <c r="C164" s="246" t="s">
        <v>324</v>
      </c>
      <c r="D164" s="166" t="s">
        <v>325</v>
      </c>
      <c r="E164" s="235"/>
      <c r="F164" s="235"/>
      <c r="G164" s="233"/>
    </row>
    <row r="165" spans="1:7" ht="26" x14ac:dyDescent="0.3">
      <c r="A165" s="235"/>
      <c r="B165" s="166" t="s">
        <v>326</v>
      </c>
      <c r="C165" s="246"/>
      <c r="D165" s="166" t="s">
        <v>327</v>
      </c>
      <c r="E165" s="235"/>
      <c r="F165" s="235"/>
      <c r="G165" s="233"/>
    </row>
    <row r="166" spans="1:7" ht="26" x14ac:dyDescent="0.3">
      <c r="A166" s="235"/>
      <c r="B166" s="166" t="s">
        <v>328</v>
      </c>
      <c r="C166" s="246"/>
      <c r="D166" s="166" t="s">
        <v>329</v>
      </c>
      <c r="E166" s="235"/>
      <c r="F166" s="235"/>
      <c r="G166" s="233"/>
    </row>
    <row r="167" spans="1:7" ht="39" x14ac:dyDescent="0.3">
      <c r="A167" s="235"/>
      <c r="B167" s="166" t="s">
        <v>330</v>
      </c>
      <c r="C167" s="246"/>
      <c r="D167" s="166"/>
      <c r="E167" s="235"/>
      <c r="F167" s="235"/>
      <c r="G167" s="233"/>
    </row>
    <row r="168" spans="1:7" ht="14.4" customHeight="1" x14ac:dyDescent="0.3"/>
    <row r="169" spans="1:7" ht="51.9" customHeight="1" x14ac:dyDescent="0.3"/>
    <row r="174" spans="1:7" ht="39" customHeight="1" x14ac:dyDescent="0.3"/>
    <row r="180" ht="39" customHeight="1" x14ac:dyDescent="0.3"/>
    <row r="186" ht="26.15" customHeight="1" x14ac:dyDescent="0.3"/>
    <row r="194" ht="65.150000000000006" customHeight="1" x14ac:dyDescent="0.3"/>
    <row r="195" ht="65.150000000000006" customHeight="1" x14ac:dyDescent="0.3"/>
    <row r="196" ht="129.9" customHeight="1" x14ac:dyDescent="0.3"/>
    <row r="197" ht="65.150000000000006" customHeight="1" x14ac:dyDescent="0.3"/>
    <row r="198" ht="14.4" customHeight="1" x14ac:dyDescent="0.3"/>
    <row r="205" ht="26.15" customHeight="1" x14ac:dyDescent="0.3"/>
    <row r="728" spans="2:8" x14ac:dyDescent="0.3">
      <c r="B728" s="235"/>
      <c r="C728" s="166"/>
      <c r="D728" s="166"/>
      <c r="E728" s="166"/>
      <c r="F728" s="229"/>
      <c r="G728" s="229"/>
      <c r="H728" s="226"/>
    </row>
    <row r="729" spans="2:8" x14ac:dyDescent="0.3">
      <c r="B729" s="235"/>
      <c r="C729" s="166"/>
      <c r="D729" s="246"/>
      <c r="E729" s="166"/>
      <c r="F729" s="230"/>
      <c r="G729" s="230"/>
      <c r="H729" s="227"/>
    </row>
    <row r="730" spans="2:8" x14ac:dyDescent="0.3">
      <c r="B730" s="235"/>
      <c r="C730" s="166"/>
      <c r="D730" s="246"/>
      <c r="E730" s="166"/>
      <c r="F730" s="230"/>
      <c r="G730" s="230"/>
      <c r="H730" s="227"/>
    </row>
    <row r="731" spans="2:8" x14ac:dyDescent="0.3">
      <c r="B731" s="235"/>
      <c r="C731" s="166"/>
      <c r="D731" s="246"/>
      <c r="E731" s="166"/>
      <c r="F731" s="230"/>
      <c r="G731" s="230"/>
      <c r="H731" s="227"/>
    </row>
    <row r="732" spans="2:8" x14ac:dyDescent="0.3">
      <c r="B732" s="235"/>
      <c r="C732" s="166"/>
      <c r="D732" s="246"/>
      <c r="E732" s="166"/>
      <c r="F732" s="230"/>
      <c r="G732" s="230"/>
      <c r="H732" s="227"/>
    </row>
    <row r="733" spans="2:8" x14ac:dyDescent="0.3">
      <c r="B733" s="235"/>
      <c r="C733" s="167"/>
      <c r="D733" s="246"/>
      <c r="E733" s="166"/>
      <c r="F733" s="230"/>
      <c r="G733" s="230"/>
      <c r="H733" s="227"/>
    </row>
    <row r="734" spans="2:8" x14ac:dyDescent="0.3">
      <c r="B734" s="235"/>
      <c r="C734" s="246"/>
      <c r="D734" s="246"/>
      <c r="E734" s="166"/>
      <c r="F734" s="230"/>
      <c r="G734" s="230"/>
      <c r="H734" s="227"/>
    </row>
    <row r="735" spans="2:8" x14ac:dyDescent="0.3">
      <c r="B735" s="235"/>
      <c r="C735" s="246"/>
      <c r="D735" s="246"/>
      <c r="E735" s="166"/>
      <c r="F735" s="230"/>
      <c r="G735" s="230"/>
      <c r="H735" s="227"/>
    </row>
    <row r="736" spans="2:8" x14ac:dyDescent="0.3">
      <c r="B736" s="235"/>
      <c r="C736" s="246"/>
      <c r="D736" s="246"/>
      <c r="E736" s="166"/>
      <c r="F736" s="230"/>
      <c r="G736" s="230"/>
      <c r="H736" s="227"/>
    </row>
    <row r="737" spans="2:8" x14ac:dyDescent="0.3">
      <c r="B737" s="235"/>
      <c r="C737" s="246"/>
      <c r="D737" s="246"/>
      <c r="E737" s="166"/>
      <c r="F737" s="230"/>
      <c r="G737" s="230"/>
      <c r="H737" s="227"/>
    </row>
    <row r="738" spans="2:8" x14ac:dyDescent="0.3">
      <c r="B738" s="235"/>
      <c r="C738" s="246"/>
      <c r="D738" s="246"/>
      <c r="E738" s="166"/>
      <c r="F738" s="230"/>
      <c r="G738" s="230"/>
      <c r="H738" s="227"/>
    </row>
    <row r="739" spans="2:8" x14ac:dyDescent="0.3">
      <c r="B739" s="235"/>
      <c r="C739" s="246"/>
      <c r="D739" s="246"/>
      <c r="E739" s="166"/>
      <c r="F739" s="231"/>
      <c r="G739" s="231"/>
      <c r="H739" s="228"/>
    </row>
    <row r="740" spans="2:8" x14ac:dyDescent="0.3">
      <c r="B740" s="235"/>
      <c r="C740" s="166"/>
      <c r="D740" s="246"/>
      <c r="E740" s="166"/>
      <c r="F740" s="235"/>
      <c r="G740" s="235"/>
      <c r="H740" s="233"/>
    </row>
    <row r="741" spans="2:8" x14ac:dyDescent="0.3">
      <c r="B741" s="235"/>
      <c r="C741" s="166"/>
      <c r="D741" s="246"/>
      <c r="E741" s="166"/>
      <c r="F741" s="235"/>
      <c r="G741" s="235"/>
      <c r="H741" s="233"/>
    </row>
    <row r="742" spans="2:8" x14ac:dyDescent="0.3">
      <c r="B742" s="235"/>
      <c r="C742" s="166"/>
      <c r="D742" s="246"/>
      <c r="E742" s="166"/>
      <c r="F742" s="235"/>
      <c r="G742" s="235"/>
      <c r="H742" s="233"/>
    </row>
    <row r="743" spans="2:8" x14ac:dyDescent="0.3">
      <c r="B743" s="235"/>
      <c r="C743" s="246"/>
      <c r="D743" s="246"/>
      <c r="E743" s="166"/>
      <c r="F743" s="235"/>
      <c r="G743" s="235"/>
      <c r="H743" s="233"/>
    </row>
    <row r="744" spans="2:8" x14ac:dyDescent="0.3">
      <c r="B744" s="235"/>
      <c r="C744" s="246"/>
      <c r="D744" s="246"/>
      <c r="E744" s="166"/>
      <c r="F744" s="235"/>
      <c r="G744" s="235"/>
      <c r="H744" s="233"/>
    </row>
    <row r="745" spans="2:8" x14ac:dyDescent="0.3">
      <c r="B745" s="235"/>
      <c r="C745" s="182"/>
      <c r="D745" s="169"/>
      <c r="E745" s="169"/>
      <c r="F745" s="235"/>
      <c r="G745" s="235"/>
      <c r="H745" s="233"/>
    </row>
    <row r="746" spans="2:8" x14ac:dyDescent="0.3">
      <c r="B746" s="235"/>
      <c r="C746" s="166"/>
      <c r="D746" s="246"/>
      <c r="E746" s="166"/>
      <c r="F746" s="235"/>
      <c r="G746" s="235"/>
      <c r="H746" s="233"/>
    </row>
    <row r="747" spans="2:8" x14ac:dyDescent="0.3">
      <c r="B747" s="235"/>
      <c r="C747" s="166"/>
      <c r="D747" s="246"/>
      <c r="E747" s="166"/>
      <c r="F747" s="235"/>
      <c r="G747" s="235"/>
      <c r="H747" s="233"/>
    </row>
    <row r="748" spans="2:8" x14ac:dyDescent="0.3">
      <c r="B748" s="235"/>
      <c r="C748" s="166"/>
      <c r="D748" s="246"/>
      <c r="E748" s="166"/>
      <c r="F748" s="235"/>
      <c r="G748" s="235"/>
      <c r="H748" s="233"/>
    </row>
    <row r="749" spans="2:8" x14ac:dyDescent="0.3">
      <c r="B749" s="235"/>
      <c r="C749" s="166"/>
      <c r="D749" s="246"/>
      <c r="E749" s="166"/>
      <c r="F749" s="235"/>
      <c r="G749" s="235"/>
      <c r="H749" s="233"/>
    </row>
    <row r="750" spans="2:8" x14ac:dyDescent="0.3">
      <c r="B750" s="235"/>
      <c r="C750" s="166"/>
      <c r="D750" s="246"/>
      <c r="E750" s="166"/>
      <c r="F750" s="235"/>
      <c r="G750" s="235"/>
      <c r="H750" s="233"/>
    </row>
    <row r="751" spans="2:8" x14ac:dyDescent="0.3">
      <c r="B751" s="258"/>
      <c r="C751" s="259"/>
      <c r="D751" s="259"/>
      <c r="E751" s="260"/>
      <c r="F751" s="174"/>
      <c r="G751" s="174"/>
      <c r="H751" s="233"/>
    </row>
    <row r="752" spans="2:8" x14ac:dyDescent="0.3">
      <c r="B752" s="160"/>
      <c r="C752" s="168"/>
      <c r="D752" s="160"/>
      <c r="E752" s="160"/>
      <c r="F752" s="160"/>
      <c r="G752" s="160"/>
      <c r="H752" s="160"/>
    </row>
    <row r="753" spans="2:8" x14ac:dyDescent="0.3">
      <c r="B753" s="161"/>
      <c r="C753" s="183"/>
      <c r="D753" s="183"/>
      <c r="E753" s="184"/>
      <c r="F753" s="235"/>
      <c r="G753" s="235"/>
      <c r="H753" s="226"/>
    </row>
    <row r="754" spans="2:8" x14ac:dyDescent="0.3">
      <c r="B754" s="161"/>
      <c r="C754" s="183"/>
      <c r="D754" s="183"/>
      <c r="E754" s="184"/>
      <c r="F754" s="235"/>
      <c r="G754" s="235"/>
      <c r="H754" s="227"/>
    </row>
    <row r="755" spans="2:8" x14ac:dyDescent="0.3">
      <c r="B755" s="164"/>
      <c r="C755" s="183"/>
      <c r="D755" s="183"/>
      <c r="E755" s="185"/>
      <c r="F755" s="235"/>
      <c r="G755" s="235"/>
      <c r="H755" s="228"/>
    </row>
    <row r="756" spans="2:8" x14ac:dyDescent="0.3">
      <c r="B756" s="161"/>
      <c r="C756" s="185"/>
      <c r="D756" s="183"/>
      <c r="E756" s="185"/>
      <c r="F756" s="161"/>
      <c r="G756" s="161"/>
      <c r="H756" s="165"/>
    </row>
    <row r="757" spans="2:8" x14ac:dyDescent="0.3">
      <c r="B757" s="161"/>
      <c r="C757" s="185"/>
      <c r="D757" s="183"/>
      <c r="E757" s="184"/>
      <c r="F757" s="229"/>
      <c r="G757" s="229"/>
      <c r="H757" s="226"/>
    </row>
    <row r="758" spans="2:8" x14ac:dyDescent="0.3">
      <c r="B758" s="240"/>
      <c r="C758" s="186"/>
      <c r="D758" s="185"/>
      <c r="E758" s="185"/>
      <c r="F758" s="230"/>
      <c r="G758" s="230"/>
      <c r="H758" s="227"/>
    </row>
    <row r="759" spans="2:8" x14ac:dyDescent="0.3">
      <c r="B759" s="240"/>
      <c r="C759" s="185"/>
      <c r="D759" s="185"/>
      <c r="E759" s="185"/>
      <c r="F759" s="230"/>
      <c r="G759" s="230"/>
      <c r="H759" s="227"/>
    </row>
    <row r="760" spans="2:8" x14ac:dyDescent="0.3">
      <c r="B760" s="240"/>
      <c r="C760" s="187"/>
      <c r="D760" s="185"/>
      <c r="E760" s="185"/>
      <c r="F760" s="230"/>
      <c r="G760" s="230"/>
      <c r="H760" s="227"/>
    </row>
    <row r="761" spans="2:8" x14ac:dyDescent="0.3">
      <c r="B761" s="240"/>
      <c r="C761" s="186"/>
      <c r="D761" s="185"/>
      <c r="E761" s="185"/>
      <c r="F761" s="230"/>
      <c r="G761" s="230"/>
      <c r="H761" s="227"/>
    </row>
    <row r="762" spans="2:8" x14ac:dyDescent="0.3">
      <c r="B762" s="240"/>
      <c r="C762" s="186"/>
      <c r="D762" s="185"/>
      <c r="E762" s="185"/>
      <c r="F762" s="230"/>
      <c r="G762" s="230"/>
      <c r="H762" s="227"/>
    </row>
    <row r="763" spans="2:8" x14ac:dyDescent="0.3">
      <c r="B763" s="240"/>
      <c r="C763" s="186"/>
      <c r="D763" s="185"/>
      <c r="E763" s="185"/>
      <c r="F763" s="230"/>
      <c r="G763" s="230"/>
      <c r="H763" s="227"/>
    </row>
    <row r="764" spans="2:8" x14ac:dyDescent="0.3">
      <c r="B764" s="240"/>
      <c r="C764" s="186"/>
      <c r="D764" s="184"/>
      <c r="E764" s="185"/>
      <c r="F764" s="230"/>
      <c r="G764" s="230"/>
      <c r="H764" s="227"/>
    </row>
    <row r="765" spans="2:8" x14ac:dyDescent="0.3">
      <c r="B765" s="164"/>
      <c r="C765" s="185"/>
      <c r="D765" s="185"/>
      <c r="E765" s="185"/>
      <c r="F765" s="231"/>
      <c r="G765" s="231"/>
      <c r="H765" s="228"/>
    </row>
    <row r="766" spans="2:8" ht="13.5" thickBot="1" x14ac:dyDescent="0.35">
      <c r="B766" s="267"/>
      <c r="C766" s="268"/>
      <c r="D766" s="268"/>
      <c r="E766" s="269"/>
      <c r="F766" s="188"/>
      <c r="G766" s="188"/>
      <c r="H766" s="145"/>
    </row>
    <row r="767" spans="2:8" ht="13.5" thickBot="1" x14ac:dyDescent="0.35">
      <c r="B767" s="189"/>
      <c r="D767" s="190"/>
      <c r="E767" s="191"/>
      <c r="F767" s="192"/>
      <c r="G767" s="193"/>
      <c r="H767" s="194"/>
    </row>
    <row r="768" spans="2:8" ht="13.5" thickBot="1" x14ac:dyDescent="0.35">
      <c r="B768" s="189"/>
      <c r="E768" s="195"/>
      <c r="F768" s="270"/>
      <c r="G768" s="271"/>
      <c r="H768" s="272"/>
    </row>
  </sheetData>
  <mergeCells count="165">
    <mergeCell ref="A1:G1"/>
    <mergeCell ref="A2:D2"/>
    <mergeCell ref="A26:G26"/>
    <mergeCell ref="A48:F48"/>
    <mergeCell ref="A88:D88"/>
    <mergeCell ref="B751:E751"/>
    <mergeCell ref="B766:E766"/>
    <mergeCell ref="F768:H768"/>
    <mergeCell ref="A4:A12"/>
    <mergeCell ref="A13:A15"/>
    <mergeCell ref="A16:A19"/>
    <mergeCell ref="A20:A24"/>
    <mergeCell ref="A28:A37"/>
    <mergeCell ref="A38:A39"/>
    <mergeCell ref="A40:A47"/>
    <mergeCell ref="A50:A56"/>
    <mergeCell ref="A57:A61"/>
    <mergeCell ref="A62:A65"/>
    <mergeCell ref="A66:A68"/>
    <mergeCell ref="A69:A73"/>
    <mergeCell ref="A74:A78"/>
    <mergeCell ref="A79:A83"/>
    <mergeCell ref="A84:A87"/>
    <mergeCell ref="A91:A93"/>
    <mergeCell ref="D740:D744"/>
    <mergeCell ref="D746:D750"/>
    <mergeCell ref="A94:A114"/>
    <mergeCell ref="A115:A139"/>
    <mergeCell ref="A140:A144"/>
    <mergeCell ref="A145:A146"/>
    <mergeCell ref="A147:A155"/>
    <mergeCell ref="A156:A162"/>
    <mergeCell ref="A163:A167"/>
    <mergeCell ref="B728:B744"/>
    <mergeCell ref="B745:B750"/>
    <mergeCell ref="B758:B764"/>
    <mergeCell ref="B40:B41"/>
    <mergeCell ref="B112:B113"/>
    <mergeCell ref="C734:C736"/>
    <mergeCell ref="C737:C739"/>
    <mergeCell ref="C743:C744"/>
    <mergeCell ref="C5:C12"/>
    <mergeCell ref="C13:C15"/>
    <mergeCell ref="C16:C19"/>
    <mergeCell ref="C20:C24"/>
    <mergeCell ref="C28:C37"/>
    <mergeCell ref="C40:C47"/>
    <mergeCell ref="C104:C106"/>
    <mergeCell ref="C109:C113"/>
    <mergeCell ref="C129:C134"/>
    <mergeCell ref="C136:C139"/>
    <mergeCell ref="C147:C155"/>
    <mergeCell ref="C157:C159"/>
    <mergeCell ref="C160:C162"/>
    <mergeCell ref="C164:C167"/>
    <mergeCell ref="D5:D12"/>
    <mergeCell ref="D13:D15"/>
    <mergeCell ref="D16:D19"/>
    <mergeCell ref="D20:D24"/>
    <mergeCell ref="D38:D39"/>
    <mergeCell ref="D40:D47"/>
    <mergeCell ref="D50:D56"/>
    <mergeCell ref="D57:D61"/>
    <mergeCell ref="D62:D68"/>
    <mergeCell ref="E62:E65"/>
    <mergeCell ref="E66:E68"/>
    <mergeCell ref="E69:E73"/>
    <mergeCell ref="E74:E78"/>
    <mergeCell ref="E79:E83"/>
    <mergeCell ref="E84:E87"/>
    <mergeCell ref="E92:E93"/>
    <mergeCell ref="E95:E99"/>
    <mergeCell ref="E100:E107"/>
    <mergeCell ref="E4:E12"/>
    <mergeCell ref="E13:E15"/>
    <mergeCell ref="E16:E19"/>
    <mergeCell ref="E20:E24"/>
    <mergeCell ref="E28:E37"/>
    <mergeCell ref="E38:E39"/>
    <mergeCell ref="E40:E47"/>
    <mergeCell ref="E50:E56"/>
    <mergeCell ref="E57:E61"/>
    <mergeCell ref="E145:E146"/>
    <mergeCell ref="E147:E153"/>
    <mergeCell ref="E154:E162"/>
    <mergeCell ref="E163:E167"/>
    <mergeCell ref="F728:F739"/>
    <mergeCell ref="D69:D73"/>
    <mergeCell ref="D74:D78"/>
    <mergeCell ref="D79:D83"/>
    <mergeCell ref="D84:D87"/>
    <mergeCell ref="D129:D134"/>
    <mergeCell ref="E108:E114"/>
    <mergeCell ref="D729:D733"/>
    <mergeCell ref="D734:D739"/>
    <mergeCell ref="F95:F99"/>
    <mergeCell ref="F100:F107"/>
    <mergeCell ref="F108:F114"/>
    <mergeCell ref="F115:F134"/>
    <mergeCell ref="F135:F139"/>
    <mergeCell ref="E115:E134"/>
    <mergeCell ref="E135:E139"/>
    <mergeCell ref="E140:E141"/>
    <mergeCell ref="E142:E144"/>
    <mergeCell ref="F154:F162"/>
    <mergeCell ref="F163:F167"/>
    <mergeCell ref="F740:F750"/>
    <mergeCell ref="F753:F755"/>
    <mergeCell ref="F757:F765"/>
    <mergeCell ref="F4:F12"/>
    <mergeCell ref="F13:F15"/>
    <mergeCell ref="F16:F19"/>
    <mergeCell ref="F20:F24"/>
    <mergeCell ref="F28:F37"/>
    <mergeCell ref="F38:F39"/>
    <mergeCell ref="F40:F47"/>
    <mergeCell ref="F50:F56"/>
    <mergeCell ref="F57:F61"/>
    <mergeCell ref="F62:F65"/>
    <mergeCell ref="F66:F68"/>
    <mergeCell ref="F69:F73"/>
    <mergeCell ref="F74:F78"/>
    <mergeCell ref="F79:F83"/>
    <mergeCell ref="F84:F87"/>
    <mergeCell ref="F92:F93"/>
    <mergeCell ref="F140:F141"/>
    <mergeCell ref="F142:F144"/>
    <mergeCell ref="F145:F146"/>
    <mergeCell ref="F147:F153"/>
    <mergeCell ref="G163:G167"/>
    <mergeCell ref="H728:H739"/>
    <mergeCell ref="H740:H751"/>
    <mergeCell ref="G57:G61"/>
    <mergeCell ref="G62:G65"/>
    <mergeCell ref="G66:G68"/>
    <mergeCell ref="G69:G73"/>
    <mergeCell ref="G74:G78"/>
    <mergeCell ref="G79:G83"/>
    <mergeCell ref="G84:G87"/>
    <mergeCell ref="G92:G93"/>
    <mergeCell ref="G95:G99"/>
    <mergeCell ref="H753:H755"/>
    <mergeCell ref="H757:H765"/>
    <mergeCell ref="G757:G765"/>
    <mergeCell ref="G2:G3"/>
    <mergeCell ref="G4:G12"/>
    <mergeCell ref="G13:G15"/>
    <mergeCell ref="G16:G19"/>
    <mergeCell ref="G20:G24"/>
    <mergeCell ref="G28:G37"/>
    <mergeCell ref="G38:G39"/>
    <mergeCell ref="G40:G47"/>
    <mergeCell ref="G50:G56"/>
    <mergeCell ref="G115:G134"/>
    <mergeCell ref="G135:G139"/>
    <mergeCell ref="G140:G141"/>
    <mergeCell ref="G728:G739"/>
    <mergeCell ref="G740:G750"/>
    <mergeCell ref="G753:G755"/>
    <mergeCell ref="G142:G144"/>
    <mergeCell ref="G145:G146"/>
    <mergeCell ref="G147:G153"/>
    <mergeCell ref="G100:G107"/>
    <mergeCell ref="G108:G114"/>
    <mergeCell ref="G154:G1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topLeftCell="A34" zoomScaleNormal="100" workbookViewId="0">
      <selection activeCell="C47" sqref="C47"/>
    </sheetView>
  </sheetViews>
  <sheetFormatPr defaultColWidth="8.81640625" defaultRowHeight="13" x14ac:dyDescent="0.3"/>
  <cols>
    <col min="1" max="1" width="6.36328125" style="118" bestFit="1" customWidth="1"/>
    <col min="2" max="2" width="26.08984375" style="119" bestFit="1" customWidth="1"/>
    <col min="3" max="3" width="53.08984375" style="119" bestFit="1" customWidth="1"/>
    <col min="4" max="4" width="34.453125" style="118" bestFit="1" customWidth="1"/>
    <col min="5" max="16384" width="8.81640625" style="119"/>
  </cols>
  <sheetData>
    <row r="1" spans="1:4" s="218" customFormat="1" ht="14.5" x14ac:dyDescent="0.3">
      <c r="A1" s="219" t="s">
        <v>0</v>
      </c>
      <c r="B1" s="220" t="s">
        <v>1</v>
      </c>
      <c r="C1" s="219" t="s">
        <v>943</v>
      </c>
      <c r="D1" s="221" t="s">
        <v>935</v>
      </c>
    </row>
    <row r="2" spans="1:4" s="218" customFormat="1" x14ac:dyDescent="0.3">
      <c r="A2" s="209"/>
      <c r="B2" s="210">
        <v>45917</v>
      </c>
      <c r="C2" s="211" t="s">
        <v>916</v>
      </c>
      <c r="D2" s="212"/>
    </row>
    <row r="3" spans="1:4" s="218" customFormat="1" x14ac:dyDescent="0.3">
      <c r="A3" s="209"/>
      <c r="B3" s="210">
        <v>45918</v>
      </c>
      <c r="C3" s="211" t="s">
        <v>917</v>
      </c>
      <c r="D3" s="212"/>
    </row>
    <row r="4" spans="1:4" s="218" customFormat="1" x14ac:dyDescent="0.3">
      <c r="A4" s="209"/>
      <c r="B4" s="210">
        <v>45919</v>
      </c>
      <c r="C4" s="211" t="s">
        <v>918</v>
      </c>
      <c r="D4" s="212"/>
    </row>
    <row r="5" spans="1:4" s="218" customFormat="1" x14ac:dyDescent="0.3">
      <c r="A5" s="209"/>
      <c r="B5" s="210">
        <v>45920</v>
      </c>
      <c r="C5" s="211" t="s">
        <v>919</v>
      </c>
      <c r="D5" s="212"/>
    </row>
    <row r="6" spans="1:4" s="218" customFormat="1" x14ac:dyDescent="0.3">
      <c r="A6" s="209"/>
      <c r="B6" s="197">
        <v>45921</v>
      </c>
      <c r="C6" s="120" t="s">
        <v>3</v>
      </c>
      <c r="D6" s="120" t="s">
        <v>3</v>
      </c>
    </row>
    <row r="7" spans="1:4" s="218" customFormat="1" x14ac:dyDescent="0.3">
      <c r="A7" s="209">
        <v>1</v>
      </c>
      <c r="B7" s="210">
        <v>45922</v>
      </c>
      <c r="C7" s="211" t="s">
        <v>2</v>
      </c>
      <c r="D7" s="212"/>
    </row>
    <row r="8" spans="1:4" s="218" customFormat="1" x14ac:dyDescent="0.3">
      <c r="A8" s="209">
        <v>2</v>
      </c>
      <c r="B8" s="210">
        <v>45923</v>
      </c>
      <c r="C8" s="211" t="s">
        <v>2</v>
      </c>
      <c r="D8" s="212"/>
    </row>
    <row r="9" spans="1:4" s="218" customFormat="1" x14ac:dyDescent="0.3">
      <c r="A9" s="209">
        <v>3</v>
      </c>
      <c r="B9" s="210">
        <v>45924</v>
      </c>
      <c r="C9" s="211" t="s">
        <v>2</v>
      </c>
      <c r="D9" s="212"/>
    </row>
    <row r="10" spans="1:4" s="218" customFormat="1" x14ac:dyDescent="0.3">
      <c r="A10" s="209">
        <v>4</v>
      </c>
      <c r="B10" s="210">
        <v>45925</v>
      </c>
      <c r="C10" s="211" t="s">
        <v>2</v>
      </c>
      <c r="D10" s="212"/>
    </row>
    <row r="11" spans="1:4" s="218" customFormat="1" x14ac:dyDescent="0.3">
      <c r="A11" s="209">
        <v>5</v>
      </c>
      <c r="B11" s="210">
        <v>45926</v>
      </c>
      <c r="C11" s="211" t="s">
        <v>2</v>
      </c>
      <c r="D11" s="212"/>
    </row>
    <row r="12" spans="1:4" s="218" customFormat="1" x14ac:dyDescent="0.3">
      <c r="A12" s="209">
        <v>6</v>
      </c>
      <c r="B12" s="210">
        <v>45927</v>
      </c>
      <c r="C12" s="211" t="s">
        <v>2</v>
      </c>
      <c r="D12" s="213" t="s">
        <v>936</v>
      </c>
    </row>
    <row r="13" spans="1:4" s="218" customFormat="1" x14ac:dyDescent="0.3">
      <c r="A13" s="209"/>
      <c r="B13" s="197">
        <v>45928</v>
      </c>
      <c r="C13" s="120" t="s">
        <v>3</v>
      </c>
      <c r="D13" s="120" t="s">
        <v>3</v>
      </c>
    </row>
    <row r="14" spans="1:4" s="218" customFormat="1" x14ac:dyDescent="0.3">
      <c r="A14" s="209">
        <v>7</v>
      </c>
      <c r="B14" s="210">
        <v>45929</v>
      </c>
      <c r="C14" s="211" t="s">
        <v>2</v>
      </c>
      <c r="D14" s="212"/>
    </row>
    <row r="15" spans="1:4" s="218" customFormat="1" x14ac:dyDescent="0.3">
      <c r="A15" s="209">
        <v>8</v>
      </c>
      <c r="B15" s="210">
        <v>45930</v>
      </c>
      <c r="C15" s="276" t="s">
        <v>920</v>
      </c>
      <c r="D15" s="277"/>
    </row>
    <row r="16" spans="1:4" s="218" customFormat="1" x14ac:dyDescent="0.3">
      <c r="A16" s="209"/>
      <c r="B16" s="214">
        <v>45931</v>
      </c>
      <c r="C16" s="215" t="s">
        <v>921</v>
      </c>
      <c r="D16" s="216" t="s">
        <v>921</v>
      </c>
    </row>
    <row r="17" spans="1:4" s="218" customFormat="1" x14ac:dyDescent="0.3">
      <c r="A17" s="209"/>
      <c r="B17" s="214">
        <v>45932</v>
      </c>
      <c r="C17" s="215" t="s">
        <v>922</v>
      </c>
      <c r="D17" s="216" t="s">
        <v>922</v>
      </c>
    </row>
    <row r="18" spans="1:4" s="218" customFormat="1" x14ac:dyDescent="0.3">
      <c r="A18" s="209">
        <v>9</v>
      </c>
      <c r="B18" s="210">
        <v>45933</v>
      </c>
      <c r="C18" s="211" t="s">
        <v>923</v>
      </c>
      <c r="D18" s="212"/>
    </row>
    <row r="19" spans="1:4" s="218" customFormat="1" x14ac:dyDescent="0.3">
      <c r="A19" s="209">
        <v>10</v>
      </c>
      <c r="B19" s="210">
        <v>45934</v>
      </c>
      <c r="C19" s="211" t="s">
        <v>4</v>
      </c>
      <c r="D19" s="213" t="s">
        <v>937</v>
      </c>
    </row>
    <row r="20" spans="1:4" s="218" customFormat="1" x14ac:dyDescent="0.3">
      <c r="A20" s="209"/>
      <c r="B20" s="197">
        <v>45935</v>
      </c>
      <c r="C20" s="120" t="s">
        <v>3</v>
      </c>
      <c r="D20" s="120" t="s">
        <v>3</v>
      </c>
    </row>
    <row r="21" spans="1:4" s="218" customFormat="1" x14ac:dyDescent="0.3">
      <c r="A21" s="209">
        <v>11</v>
      </c>
      <c r="B21" s="210">
        <v>45936</v>
      </c>
      <c r="C21" s="211" t="s">
        <v>924</v>
      </c>
      <c r="D21" s="212"/>
    </row>
    <row r="22" spans="1:4" s="218" customFormat="1" x14ac:dyDescent="0.3">
      <c r="A22" s="209">
        <v>12</v>
      </c>
      <c r="B22" s="210">
        <v>45937</v>
      </c>
      <c r="C22" s="211" t="s">
        <v>4</v>
      </c>
      <c r="D22" s="217"/>
    </row>
    <row r="23" spans="1:4" s="218" customFormat="1" x14ac:dyDescent="0.3">
      <c r="A23" s="209">
        <v>13</v>
      </c>
      <c r="B23" s="210">
        <v>45938</v>
      </c>
      <c r="C23" s="211" t="s">
        <v>4</v>
      </c>
      <c r="D23" s="213" t="s">
        <v>938</v>
      </c>
    </row>
    <row r="24" spans="1:4" s="218" customFormat="1" x14ac:dyDescent="0.3">
      <c r="A24" s="209">
        <v>14</v>
      </c>
      <c r="B24" s="210">
        <v>45939</v>
      </c>
      <c r="C24" s="276" t="s">
        <v>925</v>
      </c>
      <c r="D24" s="277"/>
    </row>
    <row r="25" spans="1:4" s="218" customFormat="1" x14ac:dyDescent="0.3">
      <c r="A25" s="209">
        <v>15</v>
      </c>
      <c r="B25" s="210">
        <v>45940</v>
      </c>
      <c r="C25" s="276" t="s">
        <v>926</v>
      </c>
      <c r="D25" s="277"/>
    </row>
    <row r="26" spans="1:4" s="218" customFormat="1" x14ac:dyDescent="0.3">
      <c r="A26" s="209">
        <v>16</v>
      </c>
      <c r="B26" s="210">
        <v>45941</v>
      </c>
      <c r="C26" s="211" t="s">
        <v>5</v>
      </c>
      <c r="D26" s="212"/>
    </row>
    <row r="27" spans="1:4" s="218" customFormat="1" x14ac:dyDescent="0.3">
      <c r="A27" s="209"/>
      <c r="B27" s="197">
        <v>45942</v>
      </c>
      <c r="C27" s="120" t="s">
        <v>3</v>
      </c>
      <c r="D27" s="120" t="s">
        <v>3</v>
      </c>
    </row>
    <row r="28" spans="1:4" s="218" customFormat="1" x14ac:dyDescent="0.3">
      <c r="A28" s="209">
        <v>17</v>
      </c>
      <c r="B28" s="210">
        <v>45943</v>
      </c>
      <c r="C28" s="211" t="s">
        <v>927</v>
      </c>
      <c r="D28" s="212"/>
    </row>
    <row r="29" spans="1:4" s="218" customFormat="1" x14ac:dyDescent="0.3">
      <c r="A29" s="209">
        <v>18</v>
      </c>
      <c r="B29" s="210">
        <v>45944</v>
      </c>
      <c r="C29" s="211" t="s">
        <v>927</v>
      </c>
      <c r="D29" s="212"/>
    </row>
    <row r="30" spans="1:4" s="218" customFormat="1" x14ac:dyDescent="0.3">
      <c r="A30" s="209">
        <v>19</v>
      </c>
      <c r="B30" s="210">
        <v>45945</v>
      </c>
      <c r="C30" s="222" t="s">
        <v>5</v>
      </c>
      <c r="D30" s="212"/>
    </row>
    <row r="31" spans="1:4" s="218" customFormat="1" x14ac:dyDescent="0.3">
      <c r="A31" s="209">
        <v>20</v>
      </c>
      <c r="B31" s="210">
        <v>45946</v>
      </c>
      <c r="C31" s="222" t="s">
        <v>6</v>
      </c>
      <c r="D31" s="212"/>
    </row>
    <row r="32" spans="1:4" s="218" customFormat="1" x14ac:dyDescent="0.3">
      <c r="A32" s="209">
        <v>21</v>
      </c>
      <c r="B32" s="210">
        <v>45947</v>
      </c>
      <c r="C32" s="222" t="s">
        <v>6</v>
      </c>
      <c r="D32" s="212"/>
    </row>
    <row r="33" spans="1:4" s="218" customFormat="1" x14ac:dyDescent="0.3">
      <c r="A33" s="209">
        <v>22</v>
      </c>
      <c r="B33" s="210">
        <v>45948</v>
      </c>
      <c r="C33" s="222" t="s">
        <v>6</v>
      </c>
      <c r="D33" s="213" t="s">
        <v>939</v>
      </c>
    </row>
    <row r="34" spans="1:4" s="218" customFormat="1" x14ac:dyDescent="0.3">
      <c r="A34" s="209"/>
      <c r="B34" s="197">
        <v>45949</v>
      </c>
      <c r="C34" s="120" t="s">
        <v>3</v>
      </c>
      <c r="D34" s="120" t="s">
        <v>3</v>
      </c>
    </row>
    <row r="35" spans="1:4" s="218" customFormat="1" x14ac:dyDescent="0.3">
      <c r="A35" s="209">
        <v>23</v>
      </c>
      <c r="B35" s="210">
        <v>45950</v>
      </c>
      <c r="C35" s="222" t="s">
        <v>6</v>
      </c>
      <c r="D35" s="213" t="s">
        <v>940</v>
      </c>
    </row>
    <row r="36" spans="1:4" s="218" customFormat="1" x14ac:dyDescent="0.3">
      <c r="A36" s="209"/>
      <c r="B36" s="214">
        <v>45951</v>
      </c>
      <c r="C36" s="223" t="s">
        <v>928</v>
      </c>
      <c r="D36" s="220" t="s">
        <v>928</v>
      </c>
    </row>
    <row r="37" spans="1:4" s="218" customFormat="1" x14ac:dyDescent="0.3">
      <c r="A37" s="209">
        <v>24</v>
      </c>
      <c r="B37" s="210">
        <v>45952</v>
      </c>
      <c r="C37" s="276" t="s">
        <v>7</v>
      </c>
      <c r="D37" s="277"/>
    </row>
    <row r="38" spans="1:4" s="218" customFormat="1" x14ac:dyDescent="0.3">
      <c r="A38" s="209">
        <v>25</v>
      </c>
      <c r="B38" s="210">
        <v>45953</v>
      </c>
      <c r="C38" s="276" t="s">
        <v>929</v>
      </c>
      <c r="D38" s="277"/>
    </row>
    <row r="39" spans="1:4" s="218" customFormat="1" x14ac:dyDescent="0.3">
      <c r="A39" s="209">
        <v>26</v>
      </c>
      <c r="B39" s="210">
        <v>45954</v>
      </c>
      <c r="C39" s="276" t="s">
        <v>8</v>
      </c>
      <c r="D39" s="277"/>
    </row>
    <row r="40" spans="1:4" s="218" customFormat="1" x14ac:dyDescent="0.3">
      <c r="A40" s="209">
        <v>27</v>
      </c>
      <c r="B40" s="210">
        <v>45955</v>
      </c>
      <c r="C40" s="224" t="s">
        <v>9</v>
      </c>
      <c r="D40" s="212"/>
    </row>
    <row r="41" spans="1:4" s="218" customFormat="1" x14ac:dyDescent="0.3">
      <c r="A41" s="209"/>
      <c r="B41" s="197">
        <v>45956</v>
      </c>
      <c r="C41" s="120" t="s">
        <v>3</v>
      </c>
      <c r="D41" s="120" t="s">
        <v>3</v>
      </c>
    </row>
    <row r="42" spans="1:4" s="218" customFormat="1" x14ac:dyDescent="0.3">
      <c r="A42" s="209">
        <v>28</v>
      </c>
      <c r="B42" s="210">
        <v>45957</v>
      </c>
      <c r="C42" s="211" t="s">
        <v>930</v>
      </c>
      <c r="D42" s="212"/>
    </row>
    <row r="43" spans="1:4" s="218" customFormat="1" x14ac:dyDescent="0.3">
      <c r="A43" s="209">
        <v>29</v>
      </c>
      <c r="B43" s="210">
        <v>45958</v>
      </c>
      <c r="C43" s="211" t="s">
        <v>931</v>
      </c>
      <c r="D43" s="212"/>
    </row>
    <row r="44" spans="1:4" s="218" customFormat="1" x14ac:dyDescent="0.3">
      <c r="A44" s="209">
        <v>30</v>
      </c>
      <c r="B44" s="210">
        <v>45959</v>
      </c>
      <c r="C44" s="224" t="s">
        <v>10</v>
      </c>
      <c r="D44" s="212"/>
    </row>
    <row r="45" spans="1:4" s="218" customFormat="1" x14ac:dyDescent="0.3">
      <c r="A45" s="209">
        <v>31</v>
      </c>
      <c r="B45" s="210">
        <v>45960</v>
      </c>
      <c r="C45" s="224" t="s">
        <v>10</v>
      </c>
      <c r="D45" s="212"/>
    </row>
    <row r="46" spans="1:4" x14ac:dyDescent="0.3">
      <c r="A46" s="203">
        <v>32</v>
      </c>
      <c r="B46" s="198">
        <v>45961</v>
      </c>
      <c r="C46" s="201" t="s">
        <v>932</v>
      </c>
      <c r="D46" s="204"/>
    </row>
    <row r="47" spans="1:4" x14ac:dyDescent="0.3">
      <c r="A47" s="203">
        <v>33</v>
      </c>
      <c r="B47" s="198">
        <v>45962</v>
      </c>
      <c r="C47" s="201" t="s">
        <v>932</v>
      </c>
      <c r="D47" s="205" t="s">
        <v>941</v>
      </c>
    </row>
    <row r="48" spans="1:4" x14ac:dyDescent="0.3">
      <c r="A48" s="203"/>
      <c r="B48" s="197">
        <v>45963</v>
      </c>
      <c r="C48" s="120" t="s">
        <v>3</v>
      </c>
      <c r="D48" s="120" t="s">
        <v>3</v>
      </c>
    </row>
    <row r="49" spans="1:4" x14ac:dyDescent="0.3">
      <c r="A49" s="203">
        <v>34</v>
      </c>
      <c r="B49" s="198">
        <v>45964</v>
      </c>
      <c r="C49" s="201" t="s">
        <v>932</v>
      </c>
      <c r="D49" s="205" t="s">
        <v>942</v>
      </c>
    </row>
    <row r="50" spans="1:4" x14ac:dyDescent="0.3">
      <c r="A50" s="203">
        <v>35</v>
      </c>
      <c r="B50" s="198">
        <v>45965</v>
      </c>
      <c r="C50" s="274" t="s">
        <v>933</v>
      </c>
      <c r="D50" s="275"/>
    </row>
    <row r="51" spans="1:4" x14ac:dyDescent="0.3">
      <c r="A51" s="203">
        <v>36</v>
      </c>
      <c r="B51" s="198">
        <v>45966</v>
      </c>
      <c r="C51" s="199" t="s">
        <v>12</v>
      </c>
      <c r="D51" s="204"/>
    </row>
    <row r="52" spans="1:4" x14ac:dyDescent="0.3">
      <c r="A52" s="203">
        <v>37</v>
      </c>
      <c r="B52" s="198">
        <v>45967</v>
      </c>
      <c r="C52" s="199" t="s">
        <v>12</v>
      </c>
      <c r="D52" s="204"/>
    </row>
    <row r="53" spans="1:4" x14ac:dyDescent="0.3">
      <c r="A53" s="203">
        <v>38</v>
      </c>
      <c r="B53" s="198">
        <v>45968</v>
      </c>
      <c r="C53" s="199" t="s">
        <v>12</v>
      </c>
      <c r="D53" s="204"/>
    </row>
    <row r="54" spans="1:4" x14ac:dyDescent="0.3">
      <c r="A54" s="203">
        <v>39</v>
      </c>
      <c r="B54" s="198">
        <v>45969</v>
      </c>
      <c r="C54" s="199" t="s">
        <v>12</v>
      </c>
      <c r="D54" s="204"/>
    </row>
    <row r="55" spans="1:4" x14ac:dyDescent="0.3">
      <c r="A55" s="203"/>
      <c r="B55" s="197">
        <v>45970</v>
      </c>
      <c r="C55" s="120" t="s">
        <v>3</v>
      </c>
      <c r="D55" s="120" t="s">
        <v>3</v>
      </c>
    </row>
    <row r="56" spans="1:4" x14ac:dyDescent="0.3">
      <c r="A56" s="203">
        <v>40</v>
      </c>
      <c r="B56" s="198">
        <v>45971</v>
      </c>
      <c r="C56" s="199" t="s">
        <v>12</v>
      </c>
      <c r="D56" s="204"/>
    </row>
    <row r="57" spans="1:4" x14ac:dyDescent="0.3">
      <c r="A57" s="203">
        <v>41</v>
      </c>
      <c r="B57" s="198">
        <v>45972</v>
      </c>
      <c r="C57" s="199" t="s">
        <v>12</v>
      </c>
      <c r="D57" s="204"/>
    </row>
    <row r="58" spans="1:4" x14ac:dyDescent="0.3">
      <c r="A58" s="203">
        <v>42</v>
      </c>
      <c r="B58" s="198">
        <v>45973</v>
      </c>
      <c r="C58" s="200" t="s">
        <v>13</v>
      </c>
      <c r="D58" s="203"/>
    </row>
    <row r="59" spans="1:4" x14ac:dyDescent="0.3">
      <c r="A59" s="203">
        <v>43</v>
      </c>
      <c r="B59" s="198">
        <v>45974</v>
      </c>
      <c r="C59" s="199" t="s">
        <v>934</v>
      </c>
      <c r="D59" s="206" t="s">
        <v>934</v>
      </c>
    </row>
    <row r="60" spans="1:4" x14ac:dyDescent="0.3">
      <c r="A60" s="203"/>
      <c r="B60" s="198">
        <v>45975</v>
      </c>
      <c r="C60" s="202" t="s">
        <v>14</v>
      </c>
      <c r="D60" s="207" t="s">
        <v>14</v>
      </c>
    </row>
  </sheetData>
  <mergeCells count="7">
    <mergeCell ref="C50:D50"/>
    <mergeCell ref="C37:D37"/>
    <mergeCell ref="C38:D38"/>
    <mergeCell ref="C39:D39"/>
    <mergeCell ref="C15:D15"/>
    <mergeCell ref="C24:D24"/>
    <mergeCell ref="C25:D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topLeftCell="A7" workbookViewId="0">
      <selection activeCell="E4" sqref="E4"/>
    </sheetView>
  </sheetViews>
  <sheetFormatPr defaultColWidth="9" defaultRowHeight="14" x14ac:dyDescent="0.25"/>
  <cols>
    <col min="2" max="2" width="13.453125" customWidth="1"/>
    <col min="3" max="3" width="18.81640625" style="121" customWidth="1"/>
    <col min="4" max="4" width="18.90625" style="121" customWidth="1"/>
    <col min="5" max="5" width="29.08984375" style="121" customWidth="1"/>
    <col min="6" max="6" width="25.90625" style="121" customWidth="1"/>
    <col min="7" max="7" width="15.90625" bestFit="1" customWidth="1"/>
    <col min="8" max="8" width="19" bestFit="1" customWidth="1"/>
    <col min="9" max="9" width="21.90625" style="117" bestFit="1" customWidth="1"/>
  </cols>
  <sheetData>
    <row r="1" spans="1:9" ht="18.649999999999999" customHeight="1" x14ac:dyDescent="0.25">
      <c r="A1" s="278" t="s">
        <v>333</v>
      </c>
      <c r="B1" s="279"/>
      <c r="C1" s="279"/>
      <c r="D1" s="279"/>
      <c r="E1" s="279"/>
      <c r="F1" s="279"/>
      <c r="G1" s="279"/>
      <c r="H1" s="279"/>
      <c r="I1" s="279"/>
    </row>
    <row r="2" spans="1:9" x14ac:dyDescent="0.25">
      <c r="A2" s="123" t="s">
        <v>334</v>
      </c>
      <c r="B2" s="124"/>
      <c r="C2" s="125" t="s">
        <v>335</v>
      </c>
      <c r="D2" s="125" t="s">
        <v>336</v>
      </c>
      <c r="E2" s="125" t="s">
        <v>337</v>
      </c>
      <c r="F2" s="125" t="s">
        <v>338</v>
      </c>
      <c r="G2" s="126" t="s">
        <v>22</v>
      </c>
      <c r="H2" s="126" t="s">
        <v>23</v>
      </c>
      <c r="I2" s="127" t="s">
        <v>17</v>
      </c>
    </row>
    <row r="3" spans="1:9" ht="26" x14ac:dyDescent="0.3">
      <c r="A3" s="128">
        <v>1</v>
      </c>
      <c r="B3" s="290" t="s">
        <v>339</v>
      </c>
      <c r="C3" s="129" t="s">
        <v>340</v>
      </c>
      <c r="D3" s="129" t="s">
        <v>341</v>
      </c>
      <c r="E3" s="130" t="s">
        <v>342</v>
      </c>
      <c r="F3" s="131"/>
      <c r="G3" s="132">
        <v>90</v>
      </c>
      <c r="H3" s="132">
        <v>30</v>
      </c>
      <c r="I3" s="133">
        <v>120</v>
      </c>
    </row>
    <row r="4" spans="1:9" ht="65" x14ac:dyDescent="0.25">
      <c r="A4" s="134">
        <v>2</v>
      </c>
      <c r="B4" s="291"/>
      <c r="C4" s="135" t="s">
        <v>343</v>
      </c>
      <c r="D4" s="135" t="s">
        <v>344</v>
      </c>
      <c r="E4" s="122"/>
      <c r="F4" s="135" t="s">
        <v>345</v>
      </c>
      <c r="G4" s="136">
        <v>180</v>
      </c>
      <c r="H4" s="136">
        <v>60</v>
      </c>
      <c r="I4" s="137">
        <v>240</v>
      </c>
    </row>
    <row r="5" spans="1:9" ht="39" x14ac:dyDescent="0.25">
      <c r="A5" s="128">
        <v>3</v>
      </c>
      <c r="B5" s="290" t="s">
        <v>346</v>
      </c>
      <c r="C5" s="293" t="s">
        <v>347</v>
      </c>
      <c r="D5" s="129" t="s">
        <v>348</v>
      </c>
      <c r="E5" s="129" t="s">
        <v>349</v>
      </c>
      <c r="F5" s="129"/>
      <c r="G5" s="138">
        <v>90</v>
      </c>
      <c r="H5" s="138">
        <v>30</v>
      </c>
      <c r="I5" s="133">
        <v>120</v>
      </c>
    </row>
    <row r="6" spans="1:9" ht="130" x14ac:dyDescent="0.25">
      <c r="A6" s="134">
        <v>5</v>
      </c>
      <c r="B6" s="291"/>
      <c r="C6" s="294"/>
      <c r="D6" s="135" t="s">
        <v>350</v>
      </c>
      <c r="E6" s="135" t="s">
        <v>351</v>
      </c>
      <c r="F6" s="139" t="s">
        <v>352</v>
      </c>
      <c r="G6" s="140">
        <v>60</v>
      </c>
      <c r="H6" s="140">
        <v>30</v>
      </c>
      <c r="I6" s="137">
        <v>90</v>
      </c>
    </row>
    <row r="7" spans="1:9" ht="91" x14ac:dyDescent="0.25">
      <c r="A7" s="141">
        <v>7</v>
      </c>
      <c r="B7" s="292"/>
      <c r="C7" s="295"/>
      <c r="D7" s="142" t="s">
        <v>353</v>
      </c>
      <c r="E7" s="142" t="s">
        <v>354</v>
      </c>
      <c r="F7" s="142" t="s">
        <v>908</v>
      </c>
      <c r="G7" s="143">
        <v>60</v>
      </c>
      <c r="H7" s="143">
        <v>90</v>
      </c>
      <c r="I7" s="144">
        <v>150</v>
      </c>
    </row>
    <row r="8" spans="1:9" ht="91" x14ac:dyDescent="0.25">
      <c r="A8" s="141">
        <v>8</v>
      </c>
      <c r="B8" s="292"/>
      <c r="C8" s="295"/>
      <c r="D8" s="142" t="s">
        <v>355</v>
      </c>
      <c r="E8" s="142" t="s">
        <v>356</v>
      </c>
      <c r="F8" s="142" t="s">
        <v>357</v>
      </c>
      <c r="G8" s="143">
        <v>30</v>
      </c>
      <c r="H8" s="143">
        <v>30</v>
      </c>
      <c r="I8" s="144">
        <v>60</v>
      </c>
    </row>
    <row r="9" spans="1:9" ht="91" x14ac:dyDescent="0.25">
      <c r="A9" s="141">
        <v>9</v>
      </c>
      <c r="B9" s="292"/>
      <c r="C9" s="295"/>
      <c r="D9" s="142" t="s">
        <v>358</v>
      </c>
      <c r="E9" s="142" t="s">
        <v>909</v>
      </c>
      <c r="F9" s="142" t="s">
        <v>359</v>
      </c>
      <c r="G9" s="143">
        <v>120</v>
      </c>
      <c r="H9" s="143">
        <v>60</v>
      </c>
      <c r="I9" s="144">
        <v>180</v>
      </c>
    </row>
    <row r="10" spans="1:9" ht="26" x14ac:dyDescent="0.25">
      <c r="A10" s="141">
        <v>10</v>
      </c>
      <c r="B10" s="292"/>
      <c r="C10" s="295"/>
      <c r="D10" s="142" t="s">
        <v>360</v>
      </c>
      <c r="E10" s="142" t="s">
        <v>910</v>
      </c>
      <c r="F10" s="142"/>
      <c r="G10" s="143">
        <v>10</v>
      </c>
      <c r="H10" s="143">
        <v>20</v>
      </c>
      <c r="I10" s="144">
        <v>30</v>
      </c>
    </row>
    <row r="11" spans="1:9" ht="78" x14ac:dyDescent="0.25">
      <c r="A11" s="134">
        <v>11</v>
      </c>
      <c r="B11" s="291"/>
      <c r="C11" s="294"/>
      <c r="D11" s="135" t="s">
        <v>361</v>
      </c>
      <c r="E11" s="135" t="s">
        <v>362</v>
      </c>
      <c r="F11" s="135"/>
      <c r="G11" s="136">
        <v>60</v>
      </c>
      <c r="H11" s="136">
        <v>30</v>
      </c>
      <c r="I11" s="137">
        <v>90</v>
      </c>
    </row>
    <row r="12" spans="1:9" ht="91" x14ac:dyDescent="0.25">
      <c r="A12" s="128">
        <v>12</v>
      </c>
      <c r="B12" s="290" t="s">
        <v>363</v>
      </c>
      <c r="C12" s="296" t="s">
        <v>364</v>
      </c>
      <c r="D12" s="129" t="s">
        <v>365</v>
      </c>
      <c r="E12" s="129" t="s">
        <v>366</v>
      </c>
      <c r="F12" s="129" t="s">
        <v>367</v>
      </c>
      <c r="G12" s="138">
        <v>120</v>
      </c>
      <c r="H12" s="138">
        <v>60</v>
      </c>
      <c r="I12" s="133">
        <v>180</v>
      </c>
    </row>
    <row r="13" spans="1:9" ht="78" x14ac:dyDescent="0.25">
      <c r="A13" s="141">
        <v>13</v>
      </c>
      <c r="B13" s="292"/>
      <c r="C13" s="297"/>
      <c r="D13" s="142" t="s">
        <v>350</v>
      </c>
      <c r="E13" s="142" t="s">
        <v>368</v>
      </c>
      <c r="F13" s="142"/>
      <c r="G13" s="143">
        <v>30</v>
      </c>
      <c r="H13" s="143">
        <v>120</v>
      </c>
      <c r="I13" s="144">
        <v>150</v>
      </c>
    </row>
    <row r="14" spans="1:9" ht="117" x14ac:dyDescent="0.25">
      <c r="A14" s="141">
        <v>14</v>
      </c>
      <c r="B14" s="292"/>
      <c r="C14" s="142" t="s">
        <v>369</v>
      </c>
      <c r="D14" s="142" t="s">
        <v>370</v>
      </c>
      <c r="E14" s="142" t="s">
        <v>371</v>
      </c>
      <c r="F14" s="208" t="s">
        <v>372</v>
      </c>
      <c r="G14" s="143">
        <v>60</v>
      </c>
      <c r="H14" s="143"/>
      <c r="I14" s="236">
        <v>240</v>
      </c>
    </row>
    <row r="15" spans="1:9" ht="65" x14ac:dyDescent="0.25">
      <c r="A15" s="141">
        <v>15</v>
      </c>
      <c r="B15" s="292"/>
      <c r="C15" s="142"/>
      <c r="D15" s="142" t="s">
        <v>373</v>
      </c>
      <c r="E15" s="142" t="s">
        <v>374</v>
      </c>
      <c r="F15" s="142"/>
      <c r="G15" s="143">
        <v>60</v>
      </c>
      <c r="H15" s="143"/>
      <c r="I15" s="237"/>
    </row>
    <row r="16" spans="1:9" ht="104" x14ac:dyDescent="0.25">
      <c r="A16" s="141">
        <v>16</v>
      </c>
      <c r="B16" s="292"/>
      <c r="C16" s="142"/>
      <c r="D16" s="142" t="s">
        <v>375</v>
      </c>
      <c r="E16" s="142" t="s">
        <v>376</v>
      </c>
      <c r="F16" s="142" t="s">
        <v>377</v>
      </c>
      <c r="G16" s="143">
        <v>60</v>
      </c>
      <c r="H16" s="143">
        <v>60</v>
      </c>
      <c r="I16" s="238"/>
    </row>
    <row r="17" spans="1:9" ht="117" x14ac:dyDescent="0.25">
      <c r="A17" s="134">
        <v>17</v>
      </c>
      <c r="B17" s="291"/>
      <c r="C17" s="135"/>
      <c r="D17" s="135" t="s">
        <v>378</v>
      </c>
      <c r="E17" s="135" t="s">
        <v>911</v>
      </c>
      <c r="F17" s="135" t="s">
        <v>379</v>
      </c>
      <c r="G17" s="136">
        <v>60</v>
      </c>
      <c r="H17" s="136">
        <v>30</v>
      </c>
      <c r="I17" s="137">
        <v>90</v>
      </c>
    </row>
    <row r="18" spans="1:9" ht="143" x14ac:dyDescent="0.25">
      <c r="A18" s="128">
        <v>18</v>
      </c>
      <c r="B18" s="290" t="s">
        <v>380</v>
      </c>
      <c r="C18" s="129"/>
      <c r="D18" s="129" t="s">
        <v>381</v>
      </c>
      <c r="E18" s="129" t="s">
        <v>382</v>
      </c>
      <c r="F18" s="129" t="s">
        <v>383</v>
      </c>
      <c r="G18" s="138">
        <v>60</v>
      </c>
      <c r="H18" s="138">
        <v>30</v>
      </c>
      <c r="I18" s="133">
        <v>90</v>
      </c>
    </row>
    <row r="19" spans="1:9" ht="130" x14ac:dyDescent="0.25">
      <c r="A19" s="141">
        <v>19</v>
      </c>
      <c r="B19" s="292"/>
      <c r="C19" s="142"/>
      <c r="D19" s="142" t="s">
        <v>384</v>
      </c>
      <c r="E19" s="142" t="s">
        <v>912</v>
      </c>
      <c r="F19" s="142" t="s">
        <v>385</v>
      </c>
      <c r="G19" s="143">
        <v>60</v>
      </c>
      <c r="H19" s="143">
        <v>30</v>
      </c>
      <c r="I19" s="144">
        <v>90</v>
      </c>
    </row>
    <row r="20" spans="1:9" ht="65" x14ac:dyDescent="0.25">
      <c r="A20" s="128">
        <v>20</v>
      </c>
      <c r="B20" s="290" t="s">
        <v>386</v>
      </c>
      <c r="C20" s="129" t="s">
        <v>387</v>
      </c>
      <c r="D20" s="129" t="s">
        <v>388</v>
      </c>
      <c r="E20" s="129" t="s">
        <v>389</v>
      </c>
      <c r="F20" s="129" t="s">
        <v>390</v>
      </c>
      <c r="G20" s="138">
        <v>120</v>
      </c>
      <c r="H20" s="138">
        <v>60</v>
      </c>
      <c r="I20" s="133">
        <v>180</v>
      </c>
    </row>
    <row r="21" spans="1:9" ht="39" x14ac:dyDescent="0.25">
      <c r="A21" s="141">
        <v>21</v>
      </c>
      <c r="B21" s="292"/>
      <c r="C21" s="142" t="s">
        <v>391</v>
      </c>
      <c r="D21" s="142" t="s">
        <v>392</v>
      </c>
      <c r="E21" s="142" t="s">
        <v>913</v>
      </c>
      <c r="F21" s="142" t="s">
        <v>393</v>
      </c>
      <c r="G21" s="143">
        <v>30</v>
      </c>
      <c r="H21" s="143" t="s">
        <v>394</v>
      </c>
      <c r="I21" s="144">
        <v>60</v>
      </c>
    </row>
    <row r="22" spans="1:9" ht="14.5" x14ac:dyDescent="0.3">
      <c r="A22" s="146">
        <v>22</v>
      </c>
      <c r="B22" s="147"/>
      <c r="C22" s="280" t="s">
        <v>395</v>
      </c>
      <c r="D22" s="281"/>
      <c r="E22" s="281"/>
      <c r="F22" s="282"/>
      <c r="G22" s="148"/>
      <c r="H22" s="149"/>
      <c r="I22" s="150"/>
    </row>
    <row r="23" spans="1:9" ht="14.5" x14ac:dyDescent="0.3">
      <c r="A23" s="151"/>
      <c r="B23" s="152"/>
      <c r="C23" s="153"/>
      <c r="D23" s="153"/>
      <c r="E23" s="283" t="s">
        <v>331</v>
      </c>
      <c r="F23" s="284"/>
      <c r="G23" s="154">
        <v>1210</v>
      </c>
      <c r="H23" s="155">
        <f>I23-G23</f>
        <v>950</v>
      </c>
      <c r="I23" s="156">
        <v>2160</v>
      </c>
    </row>
    <row r="24" spans="1:9" ht="14.5" x14ac:dyDescent="0.3">
      <c r="A24" s="157"/>
      <c r="B24" s="157"/>
      <c r="C24" s="153"/>
      <c r="D24" s="153"/>
      <c r="E24" s="285" t="s">
        <v>332</v>
      </c>
      <c r="F24" s="286"/>
      <c r="G24" s="287">
        <f>I23/60</f>
        <v>36</v>
      </c>
      <c r="H24" s="288"/>
      <c r="I24" s="289"/>
    </row>
  </sheetData>
  <mergeCells count="15">
    <mergeCell ref="A1:I1"/>
    <mergeCell ref="C22:F22"/>
    <mergeCell ref="E23:F23"/>
    <mergeCell ref="E24:F24"/>
    <mergeCell ref="G24:I24"/>
    <mergeCell ref="B3:B4"/>
    <mergeCell ref="B5:B6"/>
    <mergeCell ref="B7:B11"/>
    <mergeCell ref="B12:B17"/>
    <mergeCell ref="B18:B19"/>
    <mergeCell ref="B20:B21"/>
    <mergeCell ref="C5:C6"/>
    <mergeCell ref="C7:C11"/>
    <mergeCell ref="C12:C13"/>
    <mergeCell ref="I14:I16"/>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6"/>
  <sheetViews>
    <sheetView zoomScaleNormal="100" workbookViewId="0">
      <selection activeCell="E14" sqref="E14"/>
    </sheetView>
  </sheetViews>
  <sheetFormatPr defaultColWidth="9" defaultRowHeight="14" x14ac:dyDescent="0.25"/>
  <cols>
    <col min="1" max="1" width="5.81640625" customWidth="1"/>
    <col min="2" max="2" width="16.453125" customWidth="1"/>
    <col min="3" max="3" width="19.453125" customWidth="1"/>
    <col min="4" max="4" width="30" customWidth="1"/>
    <col min="5" max="5" width="38" style="1" customWidth="1"/>
    <col min="6" max="6" width="33.453125" style="1" customWidth="1"/>
    <col min="7" max="7" width="36.453125" style="1" customWidth="1"/>
  </cols>
  <sheetData>
    <row r="1" spans="1:7" ht="17.149999999999999" customHeight="1" x14ac:dyDescent="0.25">
      <c r="A1" s="304" t="s">
        <v>396</v>
      </c>
      <c r="B1" s="305"/>
      <c r="C1" s="305"/>
      <c r="D1" s="305"/>
      <c r="E1" s="305"/>
      <c r="F1" s="305"/>
      <c r="G1" s="305"/>
    </row>
    <row r="2" spans="1:7" s="1" customFormat="1" ht="16" x14ac:dyDescent="0.25">
      <c r="A2" s="104" t="s">
        <v>334</v>
      </c>
      <c r="B2" s="104" t="s">
        <v>335</v>
      </c>
      <c r="C2" s="104" t="s">
        <v>336</v>
      </c>
      <c r="D2" s="104" t="s">
        <v>337</v>
      </c>
      <c r="E2" s="104" t="s">
        <v>397</v>
      </c>
      <c r="F2" s="104" t="s">
        <v>398</v>
      </c>
      <c r="G2" s="104" t="s">
        <v>399</v>
      </c>
    </row>
    <row r="3" spans="1:7" ht="29" x14ac:dyDescent="0.25">
      <c r="A3" s="301">
        <v>1</v>
      </c>
      <c r="B3" s="105" t="s">
        <v>400</v>
      </c>
      <c r="C3" s="105" t="s">
        <v>401</v>
      </c>
      <c r="D3" s="106" t="s">
        <v>402</v>
      </c>
      <c r="E3" s="107">
        <v>10</v>
      </c>
      <c r="F3" s="298">
        <v>100</v>
      </c>
      <c r="G3" s="298">
        <v>30</v>
      </c>
    </row>
    <row r="4" spans="1:7" ht="14.5" x14ac:dyDescent="0.25">
      <c r="A4" s="302"/>
      <c r="B4" s="108"/>
      <c r="C4" s="109" t="s">
        <v>403</v>
      </c>
      <c r="D4" s="109" t="s">
        <v>404</v>
      </c>
      <c r="E4" s="110">
        <v>10</v>
      </c>
      <c r="F4" s="299"/>
      <c r="G4" s="299"/>
    </row>
    <row r="5" spans="1:7" ht="43.5" x14ac:dyDescent="0.25">
      <c r="A5" s="302"/>
      <c r="B5" s="108"/>
      <c r="C5" s="109" t="s">
        <v>405</v>
      </c>
      <c r="D5" s="109" t="s">
        <v>406</v>
      </c>
      <c r="E5" s="110">
        <v>20</v>
      </c>
      <c r="F5" s="299"/>
      <c r="G5" s="299"/>
    </row>
    <row r="6" spans="1:7" ht="43.5" x14ac:dyDescent="0.25">
      <c r="A6" s="302"/>
      <c r="B6" s="108"/>
      <c r="C6" s="109" t="s">
        <v>407</v>
      </c>
      <c r="D6" s="109" t="s">
        <v>408</v>
      </c>
      <c r="E6" s="110">
        <v>30</v>
      </c>
      <c r="F6" s="299"/>
      <c r="G6" s="299"/>
    </row>
    <row r="7" spans="1:7" ht="43.5" x14ac:dyDescent="0.25">
      <c r="A7" s="303"/>
      <c r="B7" s="108"/>
      <c r="C7" s="109" t="s">
        <v>409</v>
      </c>
      <c r="D7" s="109" t="s">
        <v>410</v>
      </c>
      <c r="E7" s="110">
        <v>30</v>
      </c>
      <c r="F7" s="300"/>
      <c r="G7" s="300"/>
    </row>
    <row r="8" spans="1:7" ht="29" x14ac:dyDescent="0.25">
      <c r="A8" s="301">
        <v>2</v>
      </c>
      <c r="B8" s="105" t="s">
        <v>411</v>
      </c>
      <c r="C8" s="105" t="s">
        <v>412</v>
      </c>
      <c r="D8" s="105" t="s">
        <v>413</v>
      </c>
      <c r="E8" s="107">
        <v>20</v>
      </c>
      <c r="F8" s="298">
        <v>85</v>
      </c>
      <c r="G8" s="298">
        <v>40</v>
      </c>
    </row>
    <row r="9" spans="1:7" ht="43.5" x14ac:dyDescent="0.25">
      <c r="A9" s="302"/>
      <c r="B9" s="108"/>
      <c r="C9" s="109" t="s">
        <v>414</v>
      </c>
      <c r="D9" s="109" t="s">
        <v>415</v>
      </c>
      <c r="E9" s="110">
        <v>20</v>
      </c>
      <c r="F9" s="299"/>
      <c r="G9" s="299"/>
    </row>
    <row r="10" spans="1:7" ht="29" x14ac:dyDescent="0.25">
      <c r="A10" s="302"/>
      <c r="B10" s="108"/>
      <c r="C10" s="109" t="s">
        <v>416</v>
      </c>
      <c r="D10" s="109" t="s">
        <v>417</v>
      </c>
      <c r="E10" s="110">
        <v>30</v>
      </c>
      <c r="F10" s="299"/>
      <c r="G10" s="299"/>
    </row>
    <row r="11" spans="1:7" ht="14.5" x14ac:dyDescent="0.25">
      <c r="A11" s="303"/>
      <c r="B11" s="108"/>
      <c r="C11" s="109" t="s">
        <v>418</v>
      </c>
      <c r="D11" s="109" t="s">
        <v>419</v>
      </c>
      <c r="E11" s="110">
        <v>15</v>
      </c>
      <c r="F11" s="300"/>
      <c r="G11" s="300"/>
    </row>
    <row r="12" spans="1:7" ht="29" x14ac:dyDescent="0.25">
      <c r="A12" s="301">
        <v>3</v>
      </c>
      <c r="B12" s="105" t="s">
        <v>420</v>
      </c>
      <c r="C12" s="105" t="s">
        <v>421</v>
      </c>
      <c r="D12" s="105" t="s">
        <v>422</v>
      </c>
      <c r="E12" s="107">
        <v>15</v>
      </c>
      <c r="F12" s="298">
        <v>75</v>
      </c>
      <c r="G12" s="298">
        <v>120</v>
      </c>
    </row>
    <row r="13" spans="1:7" ht="58" x14ac:dyDescent="0.25">
      <c r="A13" s="302"/>
      <c r="B13" s="108"/>
      <c r="C13" s="109" t="s">
        <v>423</v>
      </c>
      <c r="D13" s="109" t="s">
        <v>424</v>
      </c>
      <c r="E13" s="110">
        <v>15</v>
      </c>
      <c r="F13" s="299"/>
      <c r="G13" s="299"/>
    </row>
    <row r="14" spans="1:7" ht="58" x14ac:dyDescent="0.25">
      <c r="A14" s="302"/>
      <c r="B14" s="108"/>
      <c r="C14" s="109" t="s">
        <v>425</v>
      </c>
      <c r="D14" s="109" t="s">
        <v>426</v>
      </c>
      <c r="E14" s="110">
        <v>30</v>
      </c>
      <c r="F14" s="299"/>
      <c r="G14" s="299"/>
    </row>
    <row r="15" spans="1:7" ht="29" x14ac:dyDescent="0.25">
      <c r="A15" s="303"/>
      <c r="B15" s="108"/>
      <c r="C15" s="109" t="s">
        <v>427</v>
      </c>
      <c r="D15" s="109" t="s">
        <v>428</v>
      </c>
      <c r="E15" s="110">
        <v>15</v>
      </c>
      <c r="F15" s="300"/>
      <c r="G15" s="300"/>
    </row>
    <row r="16" spans="1:7" ht="43.5" x14ac:dyDescent="0.25">
      <c r="A16" s="301">
        <v>4</v>
      </c>
      <c r="B16" s="105" t="s">
        <v>429</v>
      </c>
      <c r="C16" s="105" t="s">
        <v>430</v>
      </c>
      <c r="D16" s="105" t="s">
        <v>431</v>
      </c>
      <c r="E16" s="107">
        <v>10</v>
      </c>
      <c r="F16" s="298">
        <v>40</v>
      </c>
      <c r="G16" s="298">
        <v>30</v>
      </c>
    </row>
    <row r="17" spans="1:7" ht="14.5" x14ac:dyDescent="0.25">
      <c r="A17" s="302"/>
      <c r="B17" s="108"/>
      <c r="C17" s="109" t="s">
        <v>432</v>
      </c>
      <c r="D17" s="109" t="s">
        <v>433</v>
      </c>
      <c r="E17" s="110">
        <v>10</v>
      </c>
      <c r="F17" s="299"/>
      <c r="G17" s="299"/>
    </row>
    <row r="18" spans="1:7" ht="14.5" x14ac:dyDescent="0.25">
      <c r="A18" s="302"/>
      <c r="B18" s="108"/>
      <c r="C18" s="109" t="s">
        <v>434</v>
      </c>
      <c r="D18" s="109" t="s">
        <v>435</v>
      </c>
      <c r="E18" s="110">
        <v>10</v>
      </c>
      <c r="F18" s="299"/>
      <c r="G18" s="299"/>
    </row>
    <row r="19" spans="1:7" ht="14.5" x14ac:dyDescent="0.25">
      <c r="A19" s="303"/>
      <c r="B19" s="108"/>
      <c r="C19" s="109" t="s">
        <v>436</v>
      </c>
      <c r="D19" s="109" t="s">
        <v>437</v>
      </c>
      <c r="E19" s="110">
        <v>10</v>
      </c>
      <c r="F19" s="300"/>
      <c r="G19" s="300"/>
    </row>
    <row r="20" spans="1:7" ht="14.5" x14ac:dyDescent="0.25">
      <c r="A20" s="301">
        <v>5</v>
      </c>
      <c r="B20" s="105" t="s">
        <v>438</v>
      </c>
      <c r="C20" s="105" t="s">
        <v>439</v>
      </c>
      <c r="D20" s="105" t="s">
        <v>440</v>
      </c>
      <c r="E20" s="107">
        <v>10</v>
      </c>
      <c r="F20" s="298">
        <v>75</v>
      </c>
      <c r="G20" s="298">
        <v>30</v>
      </c>
    </row>
    <row r="21" spans="1:7" ht="14.5" x14ac:dyDescent="0.25">
      <c r="A21" s="302"/>
      <c r="B21" s="108"/>
      <c r="C21" s="109" t="s">
        <v>441</v>
      </c>
      <c r="D21" s="109"/>
      <c r="E21" s="110">
        <v>10</v>
      </c>
      <c r="F21" s="299"/>
      <c r="G21" s="299"/>
    </row>
    <row r="22" spans="1:7" ht="14.5" x14ac:dyDescent="0.25">
      <c r="A22" s="302"/>
      <c r="B22" s="108"/>
      <c r="C22" s="109" t="s">
        <v>442</v>
      </c>
      <c r="D22" s="109" t="s">
        <v>443</v>
      </c>
      <c r="E22" s="110">
        <v>15</v>
      </c>
      <c r="F22" s="299"/>
      <c r="G22" s="299"/>
    </row>
    <row r="23" spans="1:7" ht="14.5" x14ac:dyDescent="0.25">
      <c r="A23" s="302"/>
      <c r="B23" s="108"/>
      <c r="C23" s="109" t="s">
        <v>444</v>
      </c>
      <c r="D23" s="109" t="s">
        <v>445</v>
      </c>
      <c r="E23" s="110">
        <v>15</v>
      </c>
      <c r="F23" s="299"/>
      <c r="G23" s="299"/>
    </row>
    <row r="24" spans="1:7" ht="14.5" x14ac:dyDescent="0.25">
      <c r="A24" s="302"/>
      <c r="B24" s="108"/>
      <c r="C24" s="109" t="s">
        <v>446</v>
      </c>
      <c r="D24" s="109" t="s">
        <v>447</v>
      </c>
      <c r="E24" s="110">
        <v>10</v>
      </c>
      <c r="F24" s="299"/>
      <c r="G24" s="299"/>
    </row>
    <row r="25" spans="1:7" ht="29" x14ac:dyDescent="0.25">
      <c r="A25" s="303"/>
      <c r="B25" s="108"/>
      <c r="C25" s="109" t="s">
        <v>448</v>
      </c>
      <c r="D25" s="109" t="s">
        <v>449</v>
      </c>
      <c r="E25" s="110">
        <v>15</v>
      </c>
      <c r="F25" s="300"/>
      <c r="G25" s="300"/>
    </row>
    <row r="26" spans="1:7" ht="43.5" x14ac:dyDescent="0.25">
      <c r="A26" s="301">
        <v>6</v>
      </c>
      <c r="B26" s="105" t="s">
        <v>450</v>
      </c>
      <c r="C26" s="105" t="s">
        <v>451</v>
      </c>
      <c r="D26" s="105" t="s">
        <v>452</v>
      </c>
      <c r="E26" s="107">
        <v>10</v>
      </c>
      <c r="F26" s="298">
        <v>20</v>
      </c>
      <c r="G26" s="298">
        <v>20</v>
      </c>
    </row>
    <row r="27" spans="1:7" ht="29" x14ac:dyDescent="0.25">
      <c r="A27" s="303"/>
      <c r="B27" s="108"/>
      <c r="C27" s="109" t="s">
        <v>453</v>
      </c>
      <c r="D27" s="109" t="s">
        <v>454</v>
      </c>
      <c r="E27" s="110">
        <v>10</v>
      </c>
      <c r="F27" s="300"/>
      <c r="G27" s="300"/>
    </row>
    <row r="28" spans="1:7" ht="29" x14ac:dyDescent="0.25">
      <c r="A28" s="301">
        <v>7</v>
      </c>
      <c r="B28" s="105" t="s">
        <v>455</v>
      </c>
      <c r="C28" s="105" t="s">
        <v>456</v>
      </c>
      <c r="D28" s="105" t="s">
        <v>457</v>
      </c>
      <c r="E28" s="107">
        <v>10</v>
      </c>
      <c r="F28" s="298">
        <v>50</v>
      </c>
      <c r="G28" s="298">
        <v>30</v>
      </c>
    </row>
    <row r="29" spans="1:7" ht="14.5" x14ac:dyDescent="0.25">
      <c r="A29" s="302"/>
      <c r="B29" s="108"/>
      <c r="C29" s="109" t="s">
        <v>458</v>
      </c>
      <c r="D29" s="109" t="s">
        <v>459</v>
      </c>
      <c r="E29" s="110">
        <v>10</v>
      </c>
      <c r="F29" s="299"/>
      <c r="G29" s="299"/>
    </row>
    <row r="30" spans="1:7" ht="29" x14ac:dyDescent="0.25">
      <c r="A30" s="302"/>
      <c r="B30" s="108"/>
      <c r="C30" s="109" t="s">
        <v>460</v>
      </c>
      <c r="D30" s="109" t="s">
        <v>461</v>
      </c>
      <c r="E30" s="110">
        <v>10</v>
      </c>
      <c r="F30" s="299"/>
      <c r="G30" s="299"/>
    </row>
    <row r="31" spans="1:7" ht="14.5" x14ac:dyDescent="0.25">
      <c r="A31" s="302"/>
      <c r="B31" s="108"/>
      <c r="C31" s="109" t="s">
        <v>462</v>
      </c>
      <c r="D31" s="109" t="s">
        <v>463</v>
      </c>
      <c r="E31" s="110">
        <v>10</v>
      </c>
      <c r="F31" s="299"/>
      <c r="G31" s="299"/>
    </row>
    <row r="32" spans="1:7" ht="14.5" x14ac:dyDescent="0.25">
      <c r="A32" s="303"/>
      <c r="B32" s="108"/>
      <c r="C32" s="109" t="s">
        <v>464</v>
      </c>
      <c r="D32" s="109" t="s">
        <v>465</v>
      </c>
      <c r="E32" s="110">
        <v>10</v>
      </c>
      <c r="F32" s="300"/>
      <c r="G32" s="300"/>
    </row>
    <row r="33" spans="1:7" ht="29" x14ac:dyDescent="0.25">
      <c r="A33" s="301">
        <v>8</v>
      </c>
      <c r="B33" s="105" t="s">
        <v>466</v>
      </c>
      <c r="C33" s="105" t="s">
        <v>467</v>
      </c>
      <c r="D33" s="105" t="s">
        <v>468</v>
      </c>
      <c r="E33" s="107">
        <v>10</v>
      </c>
      <c r="F33" s="298">
        <v>60</v>
      </c>
      <c r="G33" s="298">
        <v>30</v>
      </c>
    </row>
    <row r="34" spans="1:7" ht="14.5" x14ac:dyDescent="0.25">
      <c r="A34" s="302"/>
      <c r="B34" s="108"/>
      <c r="C34" s="109" t="s">
        <v>469</v>
      </c>
      <c r="D34" s="109" t="s">
        <v>470</v>
      </c>
      <c r="E34" s="110">
        <v>10</v>
      </c>
      <c r="F34" s="299"/>
      <c r="G34" s="299"/>
    </row>
    <row r="35" spans="1:7" ht="14.5" x14ac:dyDescent="0.25">
      <c r="A35" s="302"/>
      <c r="B35" s="108"/>
      <c r="C35" s="109" t="s">
        <v>471</v>
      </c>
      <c r="D35" s="109" t="s">
        <v>472</v>
      </c>
      <c r="E35" s="110">
        <v>10</v>
      </c>
      <c r="F35" s="299"/>
      <c r="G35" s="299"/>
    </row>
    <row r="36" spans="1:7" ht="43.5" x14ac:dyDescent="0.25">
      <c r="A36" s="302"/>
      <c r="B36" s="108"/>
      <c r="C36" s="109" t="s">
        <v>473</v>
      </c>
      <c r="D36" s="109" t="s">
        <v>474</v>
      </c>
      <c r="E36" s="110">
        <v>20</v>
      </c>
      <c r="F36" s="299"/>
      <c r="G36" s="299"/>
    </row>
    <row r="37" spans="1:7" ht="29" x14ac:dyDescent="0.25">
      <c r="A37" s="303"/>
      <c r="B37" s="108"/>
      <c r="C37" s="109" t="s">
        <v>475</v>
      </c>
      <c r="D37" s="109" t="s">
        <v>476</v>
      </c>
      <c r="E37" s="110">
        <v>10</v>
      </c>
      <c r="F37" s="300"/>
      <c r="G37" s="300"/>
    </row>
    <row r="38" spans="1:7" ht="29" x14ac:dyDescent="0.25">
      <c r="A38" s="301">
        <v>9</v>
      </c>
      <c r="B38" s="105" t="s">
        <v>477</v>
      </c>
      <c r="C38" s="105" t="s">
        <v>478</v>
      </c>
      <c r="D38" s="105" t="s">
        <v>479</v>
      </c>
      <c r="E38" s="107">
        <v>10</v>
      </c>
      <c r="F38" s="298">
        <v>40</v>
      </c>
      <c r="G38" s="298">
        <v>20</v>
      </c>
    </row>
    <row r="39" spans="1:7" ht="14.5" x14ac:dyDescent="0.25">
      <c r="A39" s="302"/>
      <c r="B39" s="108"/>
      <c r="C39" s="109" t="s">
        <v>480</v>
      </c>
      <c r="D39" s="109"/>
      <c r="E39" s="110">
        <v>10</v>
      </c>
      <c r="F39" s="299"/>
      <c r="G39" s="299"/>
    </row>
    <row r="40" spans="1:7" ht="14.5" x14ac:dyDescent="0.25">
      <c r="A40" s="303"/>
      <c r="B40" s="108"/>
      <c r="C40" s="109" t="s">
        <v>481</v>
      </c>
      <c r="D40" s="109"/>
      <c r="E40" s="110">
        <v>20</v>
      </c>
      <c r="F40" s="300"/>
      <c r="G40" s="300"/>
    </row>
    <row r="41" spans="1:7" ht="43.5" x14ac:dyDescent="0.25">
      <c r="A41" s="301">
        <v>10</v>
      </c>
      <c r="B41" s="105" t="s">
        <v>482</v>
      </c>
      <c r="C41" s="105" t="s">
        <v>483</v>
      </c>
      <c r="D41" s="105" t="s">
        <v>484</v>
      </c>
      <c r="E41" s="107">
        <v>10</v>
      </c>
      <c r="F41" s="298">
        <v>70</v>
      </c>
      <c r="G41" s="298">
        <v>60</v>
      </c>
    </row>
    <row r="42" spans="1:7" ht="29" x14ac:dyDescent="0.25">
      <c r="A42" s="302"/>
      <c r="B42" s="108"/>
      <c r="C42" s="109" t="s">
        <v>485</v>
      </c>
      <c r="D42" s="109" t="s">
        <v>486</v>
      </c>
      <c r="E42" s="110">
        <v>10</v>
      </c>
      <c r="F42" s="299"/>
      <c r="G42" s="299"/>
    </row>
    <row r="43" spans="1:7" ht="29" x14ac:dyDescent="0.25">
      <c r="A43" s="302"/>
      <c r="B43" s="108"/>
      <c r="C43" s="109" t="s">
        <v>487</v>
      </c>
      <c r="D43" s="109" t="s">
        <v>488</v>
      </c>
      <c r="E43" s="110">
        <v>15</v>
      </c>
      <c r="F43" s="299"/>
      <c r="G43" s="299"/>
    </row>
    <row r="44" spans="1:7" ht="29" x14ac:dyDescent="0.25">
      <c r="A44" s="302"/>
      <c r="B44" s="108"/>
      <c r="C44" s="109" t="s">
        <v>489</v>
      </c>
      <c r="D44" s="109" t="s">
        <v>490</v>
      </c>
      <c r="E44" s="110">
        <v>20</v>
      </c>
      <c r="F44" s="299"/>
      <c r="G44" s="299"/>
    </row>
    <row r="45" spans="1:7" ht="58" x14ac:dyDescent="0.25">
      <c r="A45" s="303"/>
      <c r="B45" s="108"/>
      <c r="C45" s="109" t="s">
        <v>491</v>
      </c>
      <c r="D45" s="109" t="s">
        <v>492</v>
      </c>
      <c r="E45" s="110">
        <v>15</v>
      </c>
      <c r="F45" s="300"/>
      <c r="G45" s="300"/>
    </row>
    <row r="46" spans="1:7" ht="43.5" x14ac:dyDescent="0.25">
      <c r="A46" s="111">
        <v>11</v>
      </c>
      <c r="B46" s="105" t="s">
        <v>493</v>
      </c>
      <c r="C46" s="105" t="s">
        <v>494</v>
      </c>
      <c r="D46" s="105" t="s">
        <v>495</v>
      </c>
      <c r="E46" s="107">
        <v>20</v>
      </c>
      <c r="F46" s="13">
        <v>20</v>
      </c>
      <c r="G46" s="13">
        <v>20</v>
      </c>
    </row>
    <row r="47" spans="1:7" ht="29" x14ac:dyDescent="0.25">
      <c r="A47" s="301">
        <v>12</v>
      </c>
      <c r="B47" s="105" t="s">
        <v>496</v>
      </c>
      <c r="C47" s="105" t="s">
        <v>497</v>
      </c>
      <c r="D47" s="105" t="s">
        <v>498</v>
      </c>
      <c r="E47" s="107">
        <v>10</v>
      </c>
      <c r="F47" s="298">
        <v>25</v>
      </c>
      <c r="G47" s="298">
        <v>30</v>
      </c>
    </row>
    <row r="48" spans="1:7" ht="29" x14ac:dyDescent="0.25">
      <c r="A48" s="303"/>
      <c r="B48" s="108"/>
      <c r="C48" s="109" t="s">
        <v>499</v>
      </c>
      <c r="D48" s="109" t="s">
        <v>500</v>
      </c>
      <c r="E48" s="110">
        <v>15</v>
      </c>
      <c r="F48" s="300"/>
      <c r="G48" s="300"/>
    </row>
    <row r="49" spans="1:7" ht="58" x14ac:dyDescent="0.25">
      <c r="A49" s="301">
        <v>13</v>
      </c>
      <c r="B49" s="105" t="s">
        <v>501</v>
      </c>
      <c r="C49" s="105" t="s">
        <v>502</v>
      </c>
      <c r="D49" s="105" t="s">
        <v>503</v>
      </c>
      <c r="E49" s="107">
        <v>15</v>
      </c>
      <c r="F49" s="298">
        <v>45</v>
      </c>
      <c r="G49" s="298">
        <v>30</v>
      </c>
    </row>
    <row r="50" spans="1:7" ht="43.5" x14ac:dyDescent="0.25">
      <c r="A50" s="302"/>
      <c r="B50" s="108"/>
      <c r="C50" s="109" t="s">
        <v>504</v>
      </c>
      <c r="D50" s="109" t="s">
        <v>505</v>
      </c>
      <c r="E50" s="110">
        <v>15</v>
      </c>
      <c r="F50" s="299"/>
      <c r="G50" s="299"/>
    </row>
    <row r="51" spans="1:7" ht="29" x14ac:dyDescent="0.25">
      <c r="A51" s="303"/>
      <c r="B51" s="108"/>
      <c r="C51" s="109" t="s">
        <v>506</v>
      </c>
      <c r="D51" s="109" t="s">
        <v>507</v>
      </c>
      <c r="E51" s="110">
        <v>15</v>
      </c>
      <c r="F51" s="300"/>
      <c r="G51" s="300"/>
    </row>
    <row r="52" spans="1:7" ht="43.5" x14ac:dyDescent="0.25">
      <c r="A52" s="301">
        <v>14</v>
      </c>
      <c r="B52" s="105" t="s">
        <v>508</v>
      </c>
      <c r="C52" s="105" t="s">
        <v>509</v>
      </c>
      <c r="D52" s="105" t="s">
        <v>510</v>
      </c>
      <c r="E52" s="107">
        <v>20</v>
      </c>
      <c r="F52" s="298">
        <v>50</v>
      </c>
      <c r="G52" s="298">
        <v>60</v>
      </c>
    </row>
    <row r="53" spans="1:7" ht="29" x14ac:dyDescent="0.25">
      <c r="A53" s="303"/>
      <c r="B53" s="108"/>
      <c r="C53" s="109" t="s">
        <v>511</v>
      </c>
      <c r="D53" s="109" t="s">
        <v>512</v>
      </c>
      <c r="E53" s="110">
        <v>30</v>
      </c>
      <c r="F53" s="300"/>
      <c r="G53" s="300"/>
    </row>
    <row r="54" spans="1:7" ht="43.5" x14ac:dyDescent="0.25">
      <c r="A54" s="301">
        <v>15</v>
      </c>
      <c r="B54" s="105" t="s">
        <v>513</v>
      </c>
      <c r="C54" s="105" t="s">
        <v>514</v>
      </c>
      <c r="D54" s="105" t="s">
        <v>515</v>
      </c>
      <c r="E54" s="107">
        <v>20</v>
      </c>
      <c r="F54" s="298">
        <v>110</v>
      </c>
      <c r="G54" s="298">
        <v>60</v>
      </c>
    </row>
    <row r="55" spans="1:7" ht="43.5" x14ac:dyDescent="0.25">
      <c r="A55" s="302"/>
      <c r="B55" s="108"/>
      <c r="C55" s="109" t="s">
        <v>516</v>
      </c>
      <c r="D55" s="109" t="s">
        <v>517</v>
      </c>
      <c r="E55" s="110">
        <v>60</v>
      </c>
      <c r="F55" s="299"/>
      <c r="G55" s="299"/>
    </row>
    <row r="56" spans="1:7" ht="58" x14ac:dyDescent="0.25">
      <c r="A56" s="303"/>
      <c r="B56" s="108"/>
      <c r="C56" s="109" t="s">
        <v>518</v>
      </c>
      <c r="D56" s="109" t="s">
        <v>519</v>
      </c>
      <c r="E56" s="110">
        <v>30</v>
      </c>
      <c r="F56" s="300"/>
      <c r="G56" s="300"/>
    </row>
    <row r="57" spans="1:7" ht="14.5" x14ac:dyDescent="0.25">
      <c r="A57" s="301">
        <v>16</v>
      </c>
      <c r="B57" s="105" t="s">
        <v>520</v>
      </c>
      <c r="C57" s="105" t="s">
        <v>521</v>
      </c>
      <c r="D57" s="105" t="s">
        <v>522</v>
      </c>
      <c r="E57" s="107">
        <v>10</v>
      </c>
      <c r="F57" s="298">
        <v>110</v>
      </c>
      <c r="G57" s="298">
        <v>60</v>
      </c>
    </row>
    <row r="58" spans="1:7" ht="29" x14ac:dyDescent="0.25">
      <c r="A58" s="302"/>
      <c r="B58" s="108"/>
      <c r="C58" s="109" t="s">
        <v>523</v>
      </c>
      <c r="D58" s="109" t="s">
        <v>524</v>
      </c>
      <c r="E58" s="110">
        <v>10</v>
      </c>
      <c r="F58" s="299"/>
      <c r="G58" s="299"/>
    </row>
    <row r="59" spans="1:7" ht="43.5" x14ac:dyDescent="0.25">
      <c r="A59" s="302"/>
      <c r="B59" s="108"/>
      <c r="C59" s="109"/>
      <c r="D59" s="109" t="s">
        <v>525</v>
      </c>
      <c r="E59" s="110">
        <v>60</v>
      </c>
      <c r="F59" s="299"/>
      <c r="G59" s="299"/>
    </row>
    <row r="60" spans="1:7" ht="29" x14ac:dyDescent="0.25">
      <c r="A60" s="303"/>
      <c r="B60" s="108"/>
      <c r="C60" s="109"/>
      <c r="D60" s="109" t="s">
        <v>526</v>
      </c>
      <c r="E60" s="110">
        <v>30</v>
      </c>
      <c r="F60" s="300"/>
      <c r="G60" s="300"/>
    </row>
    <row r="61" spans="1:7" ht="43.5" x14ac:dyDescent="0.25">
      <c r="A61" s="301">
        <v>17</v>
      </c>
      <c r="B61" s="105" t="s">
        <v>527</v>
      </c>
      <c r="C61" s="105" t="s">
        <v>528</v>
      </c>
      <c r="D61" s="105" t="s">
        <v>529</v>
      </c>
      <c r="E61" s="107">
        <v>10</v>
      </c>
      <c r="F61" s="298">
        <v>70</v>
      </c>
      <c r="G61" s="298">
        <v>60</v>
      </c>
    </row>
    <row r="62" spans="1:7" ht="29" x14ac:dyDescent="0.25">
      <c r="A62" s="302"/>
      <c r="B62" s="108"/>
      <c r="C62" s="109" t="s">
        <v>530</v>
      </c>
      <c r="D62" s="109" t="s">
        <v>531</v>
      </c>
      <c r="E62" s="110">
        <v>30</v>
      </c>
      <c r="F62" s="299"/>
      <c r="G62" s="299"/>
    </row>
    <row r="63" spans="1:7" ht="43.5" x14ac:dyDescent="0.25">
      <c r="A63" s="303"/>
      <c r="B63" s="108"/>
      <c r="C63" s="109" t="s">
        <v>532</v>
      </c>
      <c r="D63" s="109" t="s">
        <v>533</v>
      </c>
      <c r="E63" s="110">
        <v>30</v>
      </c>
      <c r="F63" s="300"/>
      <c r="G63" s="300"/>
    </row>
    <row r="64" spans="1:7" ht="15" x14ac:dyDescent="0.35">
      <c r="A64" s="1"/>
      <c r="B64" s="112"/>
      <c r="C64" s="112"/>
      <c r="D64" s="113" t="s">
        <v>534</v>
      </c>
      <c r="E64" s="114">
        <f>SUM(E3:E63)</f>
        <v>1045</v>
      </c>
      <c r="F64" s="115"/>
      <c r="G64" s="116">
        <f>SUM(G3:G63)</f>
        <v>730</v>
      </c>
    </row>
    <row r="65" spans="1:7" ht="14.5" x14ac:dyDescent="0.3">
      <c r="A65" s="1"/>
      <c r="B65" s="112"/>
      <c r="C65" s="112"/>
      <c r="D65" s="64" t="s">
        <v>535</v>
      </c>
      <c r="E65" s="306">
        <f>SUM(E64:G64)</f>
        <v>1775</v>
      </c>
      <c r="F65" s="306"/>
      <c r="G65" s="306"/>
    </row>
    <row r="66" spans="1:7" ht="15" x14ac:dyDescent="0.35">
      <c r="A66" s="1"/>
      <c r="B66" s="1"/>
      <c r="C66" s="1"/>
      <c r="D66" s="68" t="s">
        <v>536</v>
      </c>
      <c r="E66" s="307">
        <f>E65/60</f>
        <v>29.583333333333332</v>
      </c>
      <c r="F66" s="307"/>
      <c r="G66" s="307"/>
    </row>
  </sheetData>
  <mergeCells count="51">
    <mergeCell ref="A1:G1"/>
    <mergeCell ref="E65:G65"/>
    <mergeCell ref="E66:G66"/>
    <mergeCell ref="A3:A7"/>
    <mergeCell ref="A8:A11"/>
    <mergeCell ref="A12:A15"/>
    <mergeCell ref="A16:A19"/>
    <mergeCell ref="A20:A25"/>
    <mergeCell ref="A26:A27"/>
    <mergeCell ref="A28:A32"/>
    <mergeCell ref="A33:A37"/>
    <mergeCell ref="A38:A40"/>
    <mergeCell ref="A41:A45"/>
    <mergeCell ref="A47:A48"/>
    <mergeCell ref="A49:A51"/>
    <mergeCell ref="A52:A53"/>
    <mergeCell ref="A61:A63"/>
    <mergeCell ref="F3:F7"/>
    <mergeCell ref="F8:F11"/>
    <mergeCell ref="F12:F15"/>
    <mergeCell ref="F16:F19"/>
    <mergeCell ref="F20:F25"/>
    <mergeCell ref="F26:F27"/>
    <mergeCell ref="F28:F32"/>
    <mergeCell ref="F33:F37"/>
    <mergeCell ref="F38:F40"/>
    <mergeCell ref="F41:F45"/>
    <mergeCell ref="F47:F48"/>
    <mergeCell ref="F49:F51"/>
    <mergeCell ref="F52:F53"/>
    <mergeCell ref="G52:G53"/>
    <mergeCell ref="A54:A56"/>
    <mergeCell ref="A57:A60"/>
    <mergeCell ref="G54:G56"/>
    <mergeCell ref="G57:G60"/>
    <mergeCell ref="G61:G63"/>
    <mergeCell ref="F54:F56"/>
    <mergeCell ref="F57:F60"/>
    <mergeCell ref="F61:F63"/>
    <mergeCell ref="G3:G7"/>
    <mergeCell ref="G8:G11"/>
    <mergeCell ref="G12:G15"/>
    <mergeCell ref="G16:G19"/>
    <mergeCell ref="G20:G25"/>
    <mergeCell ref="G26:G27"/>
    <mergeCell ref="G28:G32"/>
    <mergeCell ref="G33:G37"/>
    <mergeCell ref="G38:G40"/>
    <mergeCell ref="G41:G45"/>
    <mergeCell ref="G47:G48"/>
    <mergeCell ref="G49:G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6"/>
  <sheetViews>
    <sheetView topLeftCell="A43" zoomScale="70" zoomScaleNormal="70" workbookViewId="0">
      <selection activeCell="A4" sqref="A4:C60"/>
    </sheetView>
  </sheetViews>
  <sheetFormatPr defaultColWidth="9" defaultRowHeight="14" x14ac:dyDescent="0.25"/>
  <cols>
    <col min="1" max="1" width="21.1796875" style="1" customWidth="1"/>
    <col min="2" max="2" width="43.1796875" style="1" customWidth="1"/>
    <col min="3" max="3" width="79.81640625" style="1" customWidth="1"/>
    <col min="4" max="4" width="73.453125" style="1" customWidth="1"/>
    <col min="5" max="5" width="37.81640625" style="1" customWidth="1"/>
    <col min="6" max="6" width="42.08984375" customWidth="1"/>
    <col min="7" max="7" width="31.81640625" customWidth="1"/>
    <col min="10" max="10" width="47.08984375" customWidth="1"/>
  </cols>
  <sheetData>
    <row r="1" spans="1:10" ht="14.4" customHeight="1" x14ac:dyDescent="0.25">
      <c r="A1" s="308" t="s">
        <v>6</v>
      </c>
      <c r="B1" s="308"/>
      <c r="C1" s="308"/>
      <c r="D1" s="308"/>
      <c r="E1" s="308"/>
      <c r="F1" s="308"/>
      <c r="G1" s="308"/>
    </row>
    <row r="2" spans="1:10" x14ac:dyDescent="0.25">
      <c r="A2" s="309"/>
      <c r="B2" s="309"/>
      <c r="C2" s="309"/>
      <c r="D2" s="309"/>
      <c r="E2" s="309"/>
      <c r="F2" s="309"/>
      <c r="G2" s="309"/>
    </row>
    <row r="3" spans="1:10" ht="21" x14ac:dyDescent="0.25">
      <c r="A3" s="69" t="s">
        <v>537</v>
      </c>
      <c r="B3" s="70" t="s">
        <v>18</v>
      </c>
      <c r="C3" s="70" t="s">
        <v>538</v>
      </c>
      <c r="D3" s="70" t="s">
        <v>338</v>
      </c>
      <c r="E3" s="71" t="s">
        <v>539</v>
      </c>
      <c r="F3" s="71" t="s">
        <v>540</v>
      </c>
      <c r="G3" s="72" t="s">
        <v>541</v>
      </c>
    </row>
    <row r="4" spans="1:10" ht="21" x14ac:dyDescent="0.5">
      <c r="A4" s="341">
        <v>1</v>
      </c>
      <c r="B4" s="348" t="s">
        <v>542</v>
      </c>
      <c r="C4" s="73" t="s">
        <v>543</v>
      </c>
      <c r="D4" s="74" t="s">
        <v>544</v>
      </c>
      <c r="E4" s="325">
        <v>90</v>
      </c>
      <c r="F4" s="313">
        <v>90</v>
      </c>
      <c r="G4" s="310">
        <v>360</v>
      </c>
    </row>
    <row r="5" spans="1:10" ht="23.25" customHeight="1" x14ac:dyDescent="0.5">
      <c r="A5" s="342"/>
      <c r="B5" s="349"/>
      <c r="C5" s="73" t="s">
        <v>545</v>
      </c>
      <c r="D5" s="74" t="s">
        <v>546</v>
      </c>
      <c r="E5" s="326"/>
      <c r="F5" s="314"/>
      <c r="G5" s="311"/>
    </row>
    <row r="6" spans="1:10" ht="27" customHeight="1" x14ac:dyDescent="0.5">
      <c r="A6" s="342"/>
      <c r="B6" s="349"/>
      <c r="C6" s="73" t="s">
        <v>547</v>
      </c>
      <c r="D6" s="75" t="s">
        <v>548</v>
      </c>
      <c r="E6" s="326"/>
      <c r="F6" s="314"/>
      <c r="G6" s="311"/>
      <c r="I6" s="80"/>
      <c r="J6" s="80"/>
    </row>
    <row r="7" spans="1:10" ht="27" customHeight="1" x14ac:dyDescent="0.5">
      <c r="A7" s="342"/>
      <c r="B7" s="349"/>
      <c r="C7" s="73" t="s">
        <v>549</v>
      </c>
      <c r="D7" s="74" t="s">
        <v>550</v>
      </c>
      <c r="E7" s="326"/>
      <c r="F7" s="314"/>
      <c r="G7" s="311"/>
      <c r="I7" s="80"/>
      <c r="J7" s="80"/>
    </row>
    <row r="8" spans="1:10" ht="26.25" customHeight="1" x14ac:dyDescent="0.5">
      <c r="A8" s="342"/>
      <c r="B8" s="349"/>
      <c r="C8" s="76" t="s">
        <v>551</v>
      </c>
      <c r="D8" s="75" t="s">
        <v>552</v>
      </c>
      <c r="E8" s="326"/>
      <c r="F8" s="314"/>
      <c r="G8" s="311"/>
      <c r="I8" s="80"/>
      <c r="J8" s="80"/>
    </row>
    <row r="9" spans="1:10" ht="26.25" customHeight="1" x14ac:dyDescent="0.5">
      <c r="A9" s="342"/>
      <c r="B9" s="349"/>
      <c r="C9" s="73" t="s">
        <v>553</v>
      </c>
      <c r="D9" s="76"/>
      <c r="E9" s="326"/>
      <c r="F9" s="314"/>
      <c r="G9" s="311"/>
      <c r="I9" s="80"/>
      <c r="J9" s="80"/>
    </row>
    <row r="10" spans="1:10" ht="30.75" customHeight="1" x14ac:dyDescent="0.5">
      <c r="A10" s="342"/>
      <c r="B10" s="349"/>
      <c r="C10" s="77" t="s">
        <v>554</v>
      </c>
      <c r="D10" s="75"/>
      <c r="E10" s="326"/>
      <c r="F10" s="314"/>
      <c r="G10" s="311"/>
      <c r="I10" s="80"/>
      <c r="J10" s="80"/>
    </row>
    <row r="11" spans="1:10" ht="31.5" customHeight="1" x14ac:dyDescent="0.5">
      <c r="A11" s="342"/>
      <c r="B11" s="349"/>
      <c r="C11" s="77" t="s">
        <v>555</v>
      </c>
      <c r="D11" s="75"/>
      <c r="E11" s="326"/>
      <c r="F11" s="314"/>
      <c r="G11" s="311"/>
      <c r="I11" s="80"/>
      <c r="J11" s="80"/>
    </row>
    <row r="12" spans="1:10" ht="31.5" customHeight="1" x14ac:dyDescent="0.5">
      <c r="A12" s="342"/>
      <c r="B12" s="350"/>
      <c r="C12" s="78" t="s">
        <v>556</v>
      </c>
      <c r="D12" s="79"/>
      <c r="E12" s="326"/>
      <c r="F12" s="314"/>
      <c r="G12" s="311"/>
      <c r="I12" s="80"/>
      <c r="J12" s="80"/>
    </row>
    <row r="13" spans="1:10" ht="31.5" customHeight="1" x14ac:dyDescent="0.5">
      <c r="A13" s="342"/>
      <c r="B13" s="351" t="s">
        <v>557</v>
      </c>
      <c r="C13" s="73" t="s">
        <v>558</v>
      </c>
      <c r="D13" s="79"/>
      <c r="E13" s="326"/>
      <c r="F13" s="314"/>
      <c r="G13" s="311"/>
      <c r="I13" s="80"/>
      <c r="J13" s="80"/>
    </row>
    <row r="14" spans="1:10" ht="31.5" customHeight="1" x14ac:dyDescent="0.5">
      <c r="A14" s="342"/>
      <c r="B14" s="351"/>
      <c r="C14" s="80" t="s">
        <v>559</v>
      </c>
      <c r="D14" s="79"/>
      <c r="E14" s="327"/>
      <c r="F14" s="315"/>
      <c r="G14" s="311"/>
      <c r="I14" s="80"/>
      <c r="J14" s="80"/>
    </row>
    <row r="15" spans="1:10" ht="63" x14ac:dyDescent="0.5">
      <c r="A15" s="343"/>
      <c r="B15" s="81" t="s">
        <v>560</v>
      </c>
      <c r="C15" s="77" t="s">
        <v>561</v>
      </c>
      <c r="D15" s="77" t="s">
        <v>562</v>
      </c>
      <c r="E15" s="82">
        <v>60</v>
      </c>
      <c r="F15" s="83">
        <v>90</v>
      </c>
      <c r="G15" s="312"/>
      <c r="I15" s="80"/>
      <c r="J15" s="80"/>
    </row>
    <row r="16" spans="1:10" ht="21" x14ac:dyDescent="0.5">
      <c r="A16" s="341">
        <v>2</v>
      </c>
      <c r="B16" s="352" t="s">
        <v>563</v>
      </c>
      <c r="C16" s="77" t="s">
        <v>564</v>
      </c>
      <c r="D16" s="84" t="s">
        <v>565</v>
      </c>
      <c r="E16" s="328">
        <v>90</v>
      </c>
      <c r="F16" s="313">
        <v>120</v>
      </c>
      <c r="G16" s="310">
        <v>360</v>
      </c>
      <c r="I16" s="80"/>
      <c r="J16" s="80"/>
    </row>
    <row r="17" spans="1:11" ht="21" x14ac:dyDescent="0.5">
      <c r="A17" s="342"/>
      <c r="B17" s="352"/>
      <c r="C17" s="77" t="s">
        <v>566</v>
      </c>
      <c r="D17" s="84" t="s">
        <v>567</v>
      </c>
      <c r="E17" s="329"/>
      <c r="F17" s="314"/>
      <c r="G17" s="311"/>
      <c r="I17" s="80"/>
      <c r="J17" s="80"/>
    </row>
    <row r="18" spans="1:11" ht="21" x14ac:dyDescent="0.5">
      <c r="A18" s="342"/>
      <c r="B18" s="352"/>
      <c r="C18" s="77" t="s">
        <v>568</v>
      </c>
      <c r="D18" s="77" t="s">
        <v>569</v>
      </c>
      <c r="E18" s="329"/>
      <c r="F18" s="314"/>
      <c r="G18" s="311"/>
      <c r="I18" s="80"/>
      <c r="J18" s="80"/>
    </row>
    <row r="19" spans="1:11" ht="21" x14ac:dyDescent="0.5">
      <c r="A19" s="342"/>
      <c r="B19" s="352"/>
      <c r="C19" s="77" t="s">
        <v>570</v>
      </c>
      <c r="D19" s="77"/>
      <c r="E19" s="329"/>
      <c r="F19" s="314"/>
      <c r="G19" s="311"/>
      <c r="I19" s="80"/>
      <c r="J19" s="80"/>
    </row>
    <row r="20" spans="1:11" ht="21" x14ac:dyDescent="0.5">
      <c r="A20" s="342"/>
      <c r="B20" s="352"/>
      <c r="C20" s="77" t="s">
        <v>571</v>
      </c>
      <c r="D20" s="85"/>
      <c r="E20" s="329"/>
      <c r="F20" s="314"/>
      <c r="G20" s="311"/>
      <c r="I20" s="80"/>
      <c r="J20" s="80"/>
    </row>
    <row r="21" spans="1:11" ht="21" x14ac:dyDescent="0.5">
      <c r="A21" s="342"/>
      <c r="B21" s="352"/>
      <c r="C21" s="86" t="s">
        <v>572</v>
      </c>
      <c r="D21" s="75"/>
      <c r="E21" s="329"/>
      <c r="F21" s="314"/>
      <c r="G21" s="311"/>
      <c r="J21" s="80"/>
      <c r="K21" s="80"/>
    </row>
    <row r="22" spans="1:11" ht="21" x14ac:dyDescent="0.5">
      <c r="A22" s="342"/>
      <c r="B22" s="352"/>
      <c r="C22" s="84" t="s">
        <v>573</v>
      </c>
      <c r="D22" s="75"/>
      <c r="E22" s="329"/>
      <c r="F22" s="314"/>
      <c r="G22" s="311"/>
    </row>
    <row r="23" spans="1:11" ht="33.75" customHeight="1" x14ac:dyDescent="0.5">
      <c r="A23" s="342"/>
      <c r="B23" s="352"/>
      <c r="C23" s="84" t="s">
        <v>574</v>
      </c>
      <c r="D23" s="75"/>
      <c r="E23" s="329"/>
      <c r="F23" s="314"/>
      <c r="G23" s="311"/>
    </row>
    <row r="24" spans="1:11" ht="21" x14ac:dyDescent="0.5">
      <c r="A24" s="342"/>
      <c r="B24" s="352"/>
      <c r="C24" s="84" t="s">
        <v>575</v>
      </c>
      <c r="D24" s="75"/>
      <c r="E24" s="330"/>
      <c r="F24" s="315"/>
      <c r="G24" s="311"/>
    </row>
    <row r="25" spans="1:11" ht="21" x14ac:dyDescent="0.5">
      <c r="A25" s="342"/>
      <c r="B25" s="353" t="s">
        <v>576</v>
      </c>
      <c r="C25" s="75" t="s">
        <v>577</v>
      </c>
      <c r="D25" s="75" t="s">
        <v>578</v>
      </c>
      <c r="E25" s="331">
        <v>60</v>
      </c>
      <c r="F25" s="316">
        <v>60</v>
      </c>
      <c r="G25" s="311"/>
    </row>
    <row r="26" spans="1:11" ht="21" x14ac:dyDescent="0.5">
      <c r="A26" s="343"/>
      <c r="B26" s="353"/>
      <c r="C26" s="75" t="s">
        <v>579</v>
      </c>
      <c r="D26" s="73" t="s">
        <v>580</v>
      </c>
      <c r="E26" s="332"/>
      <c r="F26" s="317"/>
      <c r="G26" s="312"/>
    </row>
    <row r="27" spans="1:11" ht="21" x14ac:dyDescent="0.5">
      <c r="A27" s="344">
        <v>3</v>
      </c>
      <c r="B27" s="353" t="s">
        <v>581</v>
      </c>
      <c r="C27" s="73" t="s">
        <v>582</v>
      </c>
      <c r="D27" s="87" t="s">
        <v>583</v>
      </c>
      <c r="E27" s="331">
        <v>60</v>
      </c>
      <c r="F27" s="316">
        <v>120</v>
      </c>
      <c r="G27" s="310">
        <v>360</v>
      </c>
    </row>
    <row r="28" spans="1:11" ht="21" x14ac:dyDescent="0.5">
      <c r="A28" s="345"/>
      <c r="B28" s="353"/>
      <c r="C28" s="73" t="s">
        <v>584</v>
      </c>
      <c r="D28" s="76" t="s">
        <v>585</v>
      </c>
      <c r="E28" s="333"/>
      <c r="F28" s="318"/>
      <c r="G28" s="311"/>
    </row>
    <row r="29" spans="1:11" ht="21" x14ac:dyDescent="0.5">
      <c r="A29" s="345"/>
      <c r="B29" s="353"/>
      <c r="C29" s="73" t="s">
        <v>586</v>
      </c>
      <c r="D29" s="88" t="s">
        <v>585</v>
      </c>
      <c r="E29" s="333"/>
      <c r="F29" s="318"/>
      <c r="G29" s="311"/>
    </row>
    <row r="30" spans="1:11" ht="21" x14ac:dyDescent="0.5">
      <c r="A30" s="345"/>
      <c r="B30" s="353"/>
      <c r="C30" s="76"/>
      <c r="D30" s="87" t="s">
        <v>587</v>
      </c>
      <c r="E30" s="332"/>
      <c r="F30" s="317"/>
      <c r="G30" s="311"/>
    </row>
    <row r="31" spans="1:11" ht="21" x14ac:dyDescent="0.5">
      <c r="A31" s="345"/>
      <c r="B31" s="354" t="s">
        <v>588</v>
      </c>
      <c r="C31" s="90" t="s">
        <v>589</v>
      </c>
      <c r="D31" s="73" t="s">
        <v>590</v>
      </c>
      <c r="E31" s="331">
        <v>60</v>
      </c>
      <c r="F31" s="316">
        <v>120</v>
      </c>
      <c r="G31" s="311"/>
    </row>
    <row r="32" spans="1:11" ht="21" x14ac:dyDescent="0.5">
      <c r="A32" s="345"/>
      <c r="B32" s="354"/>
      <c r="C32" s="75"/>
      <c r="D32" s="73" t="s">
        <v>591</v>
      </c>
      <c r="E32" s="333"/>
      <c r="F32" s="318"/>
      <c r="G32" s="311"/>
    </row>
    <row r="33" spans="1:7" ht="21" x14ac:dyDescent="0.5">
      <c r="A33" s="345"/>
      <c r="B33" s="354"/>
      <c r="C33" s="90"/>
      <c r="D33" s="73" t="s">
        <v>592</v>
      </c>
      <c r="E33" s="333"/>
      <c r="F33" s="318"/>
      <c r="G33" s="311"/>
    </row>
    <row r="34" spans="1:7" ht="21" x14ac:dyDescent="0.5">
      <c r="A34" s="345"/>
      <c r="B34" s="354"/>
      <c r="C34" s="75"/>
      <c r="D34" s="73" t="s">
        <v>593</v>
      </c>
      <c r="E34" s="333"/>
      <c r="F34" s="318"/>
      <c r="G34" s="311"/>
    </row>
    <row r="35" spans="1:7" ht="21" x14ac:dyDescent="0.5">
      <c r="A35" s="345"/>
      <c r="B35" s="354"/>
      <c r="C35" s="75"/>
      <c r="D35" s="73" t="s">
        <v>594</v>
      </c>
      <c r="E35" s="333"/>
      <c r="F35" s="318"/>
      <c r="G35" s="311"/>
    </row>
    <row r="36" spans="1:7" ht="21" x14ac:dyDescent="0.5">
      <c r="A36" s="346"/>
      <c r="B36" s="354"/>
      <c r="C36" s="75"/>
      <c r="D36" s="73" t="s">
        <v>595</v>
      </c>
      <c r="E36" s="332"/>
      <c r="F36" s="317"/>
      <c r="G36" s="312"/>
    </row>
    <row r="37" spans="1:7" ht="21" x14ac:dyDescent="0.25">
      <c r="A37" s="344">
        <v>4</v>
      </c>
      <c r="B37" s="321" t="s">
        <v>596</v>
      </c>
      <c r="C37" s="91" t="s">
        <v>597</v>
      </c>
      <c r="D37" s="92" t="s">
        <v>598</v>
      </c>
      <c r="E37" s="331">
        <v>60</v>
      </c>
      <c r="F37" s="316">
        <v>90</v>
      </c>
      <c r="G37" s="310">
        <v>300</v>
      </c>
    </row>
    <row r="38" spans="1:7" ht="21" x14ac:dyDescent="0.5">
      <c r="A38" s="345"/>
      <c r="B38" s="322"/>
      <c r="C38" s="84" t="s">
        <v>599</v>
      </c>
      <c r="D38" s="76" t="s">
        <v>600</v>
      </c>
      <c r="E38" s="333"/>
      <c r="F38" s="318"/>
      <c r="G38" s="311"/>
    </row>
    <row r="39" spans="1:7" ht="21" x14ac:dyDescent="0.25">
      <c r="A39" s="345"/>
      <c r="B39" s="322"/>
      <c r="C39" s="84" t="s">
        <v>601</v>
      </c>
      <c r="D39" s="93" t="s">
        <v>602</v>
      </c>
      <c r="E39" s="333"/>
      <c r="F39" s="318"/>
      <c r="G39" s="311"/>
    </row>
    <row r="40" spans="1:7" ht="21" x14ac:dyDescent="0.25">
      <c r="A40" s="345"/>
      <c r="B40" s="322"/>
      <c r="C40" s="84" t="s">
        <v>603</v>
      </c>
      <c r="D40" s="93" t="s">
        <v>604</v>
      </c>
      <c r="E40" s="333"/>
      <c r="F40" s="318"/>
      <c r="G40" s="311"/>
    </row>
    <row r="41" spans="1:7" ht="21" x14ac:dyDescent="0.25">
      <c r="A41" s="345"/>
      <c r="B41" s="323"/>
      <c r="C41" s="84" t="s">
        <v>605</v>
      </c>
      <c r="D41" s="93"/>
      <c r="E41" s="333"/>
      <c r="F41" s="318"/>
      <c r="G41" s="311"/>
    </row>
    <row r="42" spans="1:7" ht="42" x14ac:dyDescent="0.25">
      <c r="A42" s="345"/>
      <c r="B42" s="89" t="s">
        <v>606</v>
      </c>
      <c r="C42" s="91" t="s">
        <v>607</v>
      </c>
      <c r="D42" s="94" t="s">
        <v>608</v>
      </c>
      <c r="E42" s="332"/>
      <c r="F42" s="317"/>
      <c r="G42" s="311"/>
    </row>
    <row r="43" spans="1:7" ht="21" x14ac:dyDescent="0.25">
      <c r="A43" s="345"/>
      <c r="B43" s="321" t="s">
        <v>609</v>
      </c>
      <c r="C43" s="84" t="s">
        <v>610</v>
      </c>
      <c r="D43" s="84"/>
      <c r="E43" s="331">
        <v>60</v>
      </c>
      <c r="F43" s="316">
        <v>90</v>
      </c>
      <c r="G43" s="311"/>
    </row>
    <row r="44" spans="1:7" ht="21" x14ac:dyDescent="0.25">
      <c r="A44" s="345"/>
      <c r="B44" s="322"/>
      <c r="C44" s="85" t="s">
        <v>611</v>
      </c>
      <c r="D44" s="85"/>
      <c r="E44" s="333"/>
      <c r="F44" s="318"/>
      <c r="G44" s="311"/>
    </row>
    <row r="45" spans="1:7" ht="21" x14ac:dyDescent="0.25">
      <c r="A45" s="346"/>
      <c r="B45" s="323"/>
      <c r="C45" s="84" t="s">
        <v>612</v>
      </c>
      <c r="D45" s="84" t="s">
        <v>613</v>
      </c>
      <c r="E45" s="332"/>
      <c r="F45" s="317"/>
      <c r="G45" s="312"/>
    </row>
    <row r="46" spans="1:7" ht="21" x14ac:dyDescent="0.5">
      <c r="A46" s="344">
        <v>5</v>
      </c>
      <c r="B46" s="354" t="s">
        <v>614</v>
      </c>
      <c r="C46" s="75" t="s">
        <v>615</v>
      </c>
      <c r="D46" s="95" t="s">
        <v>616</v>
      </c>
      <c r="E46" s="331">
        <v>60</v>
      </c>
      <c r="F46" s="316">
        <v>90</v>
      </c>
      <c r="G46" s="310">
        <v>330</v>
      </c>
    </row>
    <row r="47" spans="1:7" ht="21" x14ac:dyDescent="0.25">
      <c r="A47" s="345"/>
      <c r="B47" s="354"/>
      <c r="C47" s="91" t="s">
        <v>617</v>
      </c>
      <c r="D47" s="84" t="s">
        <v>618</v>
      </c>
      <c r="E47" s="333"/>
      <c r="F47" s="318"/>
      <c r="G47" s="311"/>
    </row>
    <row r="48" spans="1:7" ht="21" x14ac:dyDescent="0.25">
      <c r="A48" s="345"/>
      <c r="B48" s="354"/>
      <c r="C48" s="91" t="s">
        <v>619</v>
      </c>
      <c r="D48" s="84" t="s">
        <v>620</v>
      </c>
      <c r="E48" s="333"/>
      <c r="F48" s="318"/>
      <c r="G48" s="311"/>
    </row>
    <row r="49" spans="1:7" ht="21" x14ac:dyDescent="0.25">
      <c r="A49" s="345"/>
      <c r="B49" s="354"/>
      <c r="C49" s="84" t="s">
        <v>621</v>
      </c>
      <c r="D49" s="84" t="s">
        <v>622</v>
      </c>
      <c r="E49" s="333"/>
      <c r="F49" s="318"/>
      <c r="G49" s="311"/>
    </row>
    <row r="50" spans="1:7" ht="21" x14ac:dyDescent="0.25">
      <c r="A50" s="345"/>
      <c r="B50" s="354"/>
      <c r="C50" s="84" t="s">
        <v>623</v>
      </c>
      <c r="D50" s="84" t="s">
        <v>624</v>
      </c>
      <c r="E50" s="333"/>
      <c r="F50" s="318"/>
      <c r="G50" s="311"/>
    </row>
    <row r="51" spans="1:7" ht="21" x14ac:dyDescent="0.5">
      <c r="A51" s="345"/>
      <c r="B51" s="354"/>
      <c r="C51" s="84" t="s">
        <v>625</v>
      </c>
      <c r="D51" s="75"/>
      <c r="E51" s="333"/>
      <c r="F51" s="318"/>
      <c r="G51" s="311"/>
    </row>
    <row r="52" spans="1:7" ht="21" x14ac:dyDescent="0.5">
      <c r="A52" s="345"/>
      <c r="B52" s="354"/>
      <c r="C52" s="75" t="s">
        <v>626</v>
      </c>
      <c r="D52" s="75"/>
      <c r="E52" s="332"/>
      <c r="F52" s="317"/>
      <c r="G52" s="311"/>
    </row>
    <row r="53" spans="1:7" ht="21" x14ac:dyDescent="0.25">
      <c r="A53" s="345"/>
      <c r="B53" s="321" t="s">
        <v>627</v>
      </c>
      <c r="C53" s="85" t="s">
        <v>628</v>
      </c>
      <c r="D53" s="91" t="s">
        <v>629</v>
      </c>
      <c r="E53" s="331">
        <v>30</v>
      </c>
      <c r="F53" s="316">
        <v>60</v>
      </c>
      <c r="G53" s="311"/>
    </row>
    <row r="54" spans="1:7" ht="21" x14ac:dyDescent="0.25">
      <c r="A54" s="345"/>
      <c r="B54" s="322"/>
      <c r="C54" s="96" t="s">
        <v>630</v>
      </c>
      <c r="D54" s="96"/>
      <c r="E54" s="333"/>
      <c r="F54" s="318"/>
      <c r="G54" s="311"/>
    </row>
    <row r="55" spans="1:7" ht="21" x14ac:dyDescent="0.25">
      <c r="A55" s="345"/>
      <c r="B55" s="322"/>
      <c r="C55" s="96" t="s">
        <v>631</v>
      </c>
      <c r="D55" s="96"/>
      <c r="E55" s="333"/>
      <c r="F55" s="318"/>
      <c r="G55" s="311"/>
    </row>
    <row r="56" spans="1:7" ht="21" x14ac:dyDescent="0.25">
      <c r="A56" s="345"/>
      <c r="B56" s="323"/>
      <c r="C56" s="96" t="s">
        <v>632</v>
      </c>
      <c r="D56" s="96"/>
      <c r="E56" s="332"/>
      <c r="F56" s="317"/>
      <c r="G56" s="311"/>
    </row>
    <row r="57" spans="1:7" ht="21" x14ac:dyDescent="0.25">
      <c r="A57" s="345"/>
      <c r="B57" s="321" t="s">
        <v>633</v>
      </c>
      <c r="C57" s="85" t="s">
        <v>634</v>
      </c>
      <c r="D57" s="85" t="s">
        <v>635</v>
      </c>
      <c r="E57" s="331">
        <v>30</v>
      </c>
      <c r="F57" s="316">
        <v>60</v>
      </c>
      <c r="G57" s="311"/>
    </row>
    <row r="58" spans="1:7" ht="21" x14ac:dyDescent="0.25">
      <c r="A58" s="345"/>
      <c r="B58" s="322"/>
      <c r="C58" s="84" t="s">
        <v>636</v>
      </c>
      <c r="D58" s="84" t="s">
        <v>637</v>
      </c>
      <c r="E58" s="333"/>
      <c r="F58" s="318"/>
      <c r="G58" s="311"/>
    </row>
    <row r="59" spans="1:7" ht="21" x14ac:dyDescent="0.25">
      <c r="A59" s="345"/>
      <c r="B59" s="322"/>
      <c r="C59" s="84" t="s">
        <v>638</v>
      </c>
      <c r="D59" s="84" t="s">
        <v>639</v>
      </c>
      <c r="E59" s="333"/>
      <c r="F59" s="318"/>
      <c r="G59" s="311"/>
    </row>
    <row r="60" spans="1:7" ht="21" x14ac:dyDescent="0.25">
      <c r="A60" s="347"/>
      <c r="B60" s="324"/>
      <c r="C60" s="97" t="s">
        <v>640</v>
      </c>
      <c r="D60" s="97" t="s">
        <v>641</v>
      </c>
      <c r="E60" s="334"/>
      <c r="F60" s="320"/>
      <c r="G60" s="319"/>
    </row>
    <row r="61" spans="1:7" ht="21" x14ac:dyDescent="0.5">
      <c r="A61" s="76"/>
      <c r="B61" s="76"/>
      <c r="C61" s="76"/>
      <c r="D61" s="98" t="s">
        <v>534</v>
      </c>
      <c r="E61" s="98">
        <v>660</v>
      </c>
      <c r="F61" s="99">
        <v>990</v>
      </c>
      <c r="G61" s="100"/>
    </row>
    <row r="62" spans="1:7" ht="21" x14ac:dyDescent="0.5">
      <c r="A62" s="76"/>
      <c r="B62" s="76"/>
      <c r="C62" s="76"/>
      <c r="D62" s="101" t="s">
        <v>535</v>
      </c>
      <c r="E62" s="335">
        <f>SUM(E61:G61)</f>
        <v>1650</v>
      </c>
      <c r="F62" s="336"/>
      <c r="G62" s="337"/>
    </row>
    <row r="63" spans="1:7" ht="21" x14ac:dyDescent="0.5">
      <c r="A63" s="76"/>
      <c r="B63" s="76"/>
      <c r="C63" s="76"/>
      <c r="D63" s="102" t="s">
        <v>536</v>
      </c>
      <c r="E63" s="338">
        <f>E62/60</f>
        <v>27.5</v>
      </c>
      <c r="F63" s="339"/>
      <c r="G63" s="340"/>
    </row>
    <row r="66" spans="6:6" x14ac:dyDescent="0.25">
      <c r="F66" s="103"/>
    </row>
  </sheetData>
  <mergeCells count="44">
    <mergeCell ref="E62:G62"/>
    <mergeCell ref="E63:G63"/>
    <mergeCell ref="A4:A15"/>
    <mergeCell ref="A16:A26"/>
    <mergeCell ref="A27:A36"/>
    <mergeCell ref="A37:A45"/>
    <mergeCell ref="A46:A60"/>
    <mergeCell ref="B4:B12"/>
    <mergeCell ref="B13:B14"/>
    <mergeCell ref="B16:B24"/>
    <mergeCell ref="B25:B26"/>
    <mergeCell ref="B27:B30"/>
    <mergeCell ref="B31:B36"/>
    <mergeCell ref="B37:B41"/>
    <mergeCell ref="B43:B45"/>
    <mergeCell ref="B46:B52"/>
    <mergeCell ref="B53:B56"/>
    <mergeCell ref="B57:B60"/>
    <mergeCell ref="E4:E14"/>
    <mergeCell ref="E16:E24"/>
    <mergeCell ref="E25:E26"/>
    <mergeCell ref="E27:E30"/>
    <mergeCell ref="E31:E36"/>
    <mergeCell ref="E37:E42"/>
    <mergeCell ref="E43:E45"/>
    <mergeCell ref="E46:E52"/>
    <mergeCell ref="E53:E56"/>
    <mergeCell ref="E57:E60"/>
    <mergeCell ref="G46:G60"/>
    <mergeCell ref="F37:F42"/>
    <mergeCell ref="F43:F45"/>
    <mergeCell ref="F46:F52"/>
    <mergeCell ref="F53:F56"/>
    <mergeCell ref="F57:F60"/>
    <mergeCell ref="A1:G2"/>
    <mergeCell ref="G4:G15"/>
    <mergeCell ref="G16:G26"/>
    <mergeCell ref="G27:G36"/>
    <mergeCell ref="G37:G45"/>
    <mergeCell ref="F4:F14"/>
    <mergeCell ref="F16:F24"/>
    <mergeCell ref="F25:F26"/>
    <mergeCell ref="F27:F30"/>
    <mergeCell ref="F31:F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9"/>
  <sheetViews>
    <sheetView workbookViewId="0">
      <selection activeCell="F3" sqref="F3:F13"/>
    </sheetView>
  </sheetViews>
  <sheetFormatPr defaultColWidth="9" defaultRowHeight="14" x14ac:dyDescent="0.25"/>
  <cols>
    <col min="3" max="3" width="32.453125" customWidth="1"/>
    <col min="4" max="4" width="50.81640625" customWidth="1"/>
    <col min="5" max="5" width="39.81640625" customWidth="1"/>
    <col min="6" max="6" width="35.453125" customWidth="1"/>
    <col min="7" max="7" width="39.1796875" customWidth="1"/>
    <col min="8" max="8" width="19.1796875" customWidth="1"/>
  </cols>
  <sheetData>
    <row r="1" spans="1:8" ht="26" x14ac:dyDescent="0.25">
      <c r="A1" s="308" t="s">
        <v>9</v>
      </c>
      <c r="B1" s="308"/>
      <c r="C1" s="308"/>
      <c r="D1" s="308"/>
      <c r="E1" s="308"/>
      <c r="F1" s="308"/>
      <c r="G1" s="308"/>
      <c r="H1" s="308"/>
    </row>
    <row r="2" spans="1:8" ht="14.5" x14ac:dyDescent="0.25">
      <c r="A2" s="60" t="s">
        <v>537</v>
      </c>
      <c r="B2" s="60" t="s">
        <v>642</v>
      </c>
      <c r="C2" s="6" t="s">
        <v>18</v>
      </c>
      <c r="D2" s="6" t="s">
        <v>538</v>
      </c>
      <c r="E2" s="6" t="s">
        <v>338</v>
      </c>
      <c r="F2" s="61" t="s">
        <v>539</v>
      </c>
      <c r="G2" s="61" t="s">
        <v>540</v>
      </c>
      <c r="H2" s="62" t="s">
        <v>541</v>
      </c>
    </row>
    <row r="3" spans="1:8" x14ac:dyDescent="0.25">
      <c r="A3" s="361">
        <v>1</v>
      </c>
      <c r="B3" s="355">
        <v>1</v>
      </c>
      <c r="C3" s="362" t="s">
        <v>643</v>
      </c>
      <c r="D3" s="17" t="s">
        <v>644</v>
      </c>
      <c r="E3" s="17"/>
      <c r="F3" s="355">
        <v>45</v>
      </c>
      <c r="G3" s="355"/>
      <c r="H3" s="355">
        <v>45</v>
      </c>
    </row>
    <row r="4" spans="1:8" x14ac:dyDescent="0.25">
      <c r="A4" s="361"/>
      <c r="B4" s="356"/>
      <c r="C4" s="363"/>
      <c r="D4" s="17" t="s">
        <v>645</v>
      </c>
      <c r="E4" s="17"/>
      <c r="F4" s="356"/>
      <c r="G4" s="356"/>
      <c r="H4" s="356"/>
    </row>
    <row r="5" spans="1:8" ht="28" x14ac:dyDescent="0.25">
      <c r="A5" s="361"/>
      <c r="B5" s="356"/>
      <c r="C5" s="363"/>
      <c r="D5" s="63" t="s">
        <v>646</v>
      </c>
      <c r="E5" s="17"/>
      <c r="F5" s="356"/>
      <c r="G5" s="356"/>
      <c r="H5" s="356"/>
    </row>
    <row r="6" spans="1:8" x14ac:dyDescent="0.25">
      <c r="A6" s="361"/>
      <c r="B6" s="356"/>
      <c r="C6" s="363"/>
      <c r="D6" s="17" t="s">
        <v>647</v>
      </c>
      <c r="E6" s="17"/>
      <c r="F6" s="356"/>
      <c r="G6" s="356"/>
      <c r="H6" s="356"/>
    </row>
    <row r="7" spans="1:8" x14ac:dyDescent="0.25">
      <c r="A7" s="361"/>
      <c r="B7" s="356"/>
      <c r="C7" s="363"/>
      <c r="D7" s="17" t="s">
        <v>648</v>
      </c>
      <c r="E7" s="17"/>
      <c r="F7" s="356"/>
      <c r="G7" s="356"/>
      <c r="H7" s="356"/>
    </row>
    <row r="8" spans="1:8" x14ac:dyDescent="0.25">
      <c r="A8" s="361"/>
      <c r="B8" s="356"/>
      <c r="C8" s="363"/>
      <c r="D8" s="17" t="s">
        <v>649</v>
      </c>
      <c r="E8" s="17"/>
      <c r="F8" s="356"/>
      <c r="G8" s="356"/>
      <c r="H8" s="356"/>
    </row>
    <row r="9" spans="1:8" x14ac:dyDescent="0.25">
      <c r="A9" s="361"/>
      <c r="B9" s="356"/>
      <c r="C9" s="363"/>
      <c r="D9" s="17" t="s">
        <v>650</v>
      </c>
      <c r="E9" s="17"/>
      <c r="F9" s="356"/>
      <c r="G9" s="356"/>
      <c r="H9" s="356"/>
    </row>
    <row r="10" spans="1:8" x14ac:dyDescent="0.25">
      <c r="A10" s="361"/>
      <c r="B10" s="356"/>
      <c r="C10" s="363"/>
      <c r="D10" s="17" t="s">
        <v>651</v>
      </c>
      <c r="E10" s="17"/>
      <c r="F10" s="356"/>
      <c r="G10" s="356"/>
      <c r="H10" s="356"/>
    </row>
    <row r="11" spans="1:8" x14ac:dyDescent="0.25">
      <c r="A11" s="361"/>
      <c r="B11" s="356"/>
      <c r="C11" s="363"/>
      <c r="D11" s="17" t="s">
        <v>652</v>
      </c>
      <c r="E11" s="17"/>
      <c r="F11" s="356"/>
      <c r="G11" s="356"/>
      <c r="H11" s="356"/>
    </row>
    <row r="12" spans="1:8" x14ac:dyDescent="0.25">
      <c r="A12" s="361"/>
      <c r="B12" s="356"/>
      <c r="C12" s="363"/>
      <c r="D12" s="17" t="s">
        <v>653</v>
      </c>
      <c r="E12" s="17"/>
      <c r="F12" s="356"/>
      <c r="G12" s="356"/>
      <c r="H12" s="356"/>
    </row>
    <row r="13" spans="1:8" x14ac:dyDescent="0.25">
      <c r="A13" s="361"/>
      <c r="B13" s="357"/>
      <c r="C13" s="364"/>
      <c r="D13" s="17" t="s">
        <v>654</v>
      </c>
      <c r="E13" s="17"/>
      <c r="F13" s="357"/>
      <c r="G13" s="357"/>
      <c r="H13" s="357"/>
    </row>
    <row r="14" spans="1:8" x14ac:dyDescent="0.25">
      <c r="A14" s="361"/>
      <c r="B14" s="355">
        <v>2</v>
      </c>
      <c r="C14" s="362" t="s">
        <v>655</v>
      </c>
      <c r="D14" s="17" t="s">
        <v>656</v>
      </c>
      <c r="E14" s="17" t="s">
        <v>657</v>
      </c>
      <c r="F14" s="355">
        <v>45</v>
      </c>
      <c r="G14" s="355">
        <v>45</v>
      </c>
      <c r="H14" s="355">
        <v>90</v>
      </c>
    </row>
    <row r="15" spans="1:8" x14ac:dyDescent="0.25">
      <c r="A15" s="361"/>
      <c r="B15" s="356"/>
      <c r="C15" s="363"/>
      <c r="D15" s="17" t="s">
        <v>658</v>
      </c>
      <c r="E15" s="17" t="s">
        <v>659</v>
      </c>
      <c r="F15" s="356"/>
      <c r="G15" s="356"/>
      <c r="H15" s="356"/>
    </row>
    <row r="16" spans="1:8" x14ac:dyDescent="0.25">
      <c r="A16" s="361"/>
      <c r="B16" s="356"/>
      <c r="C16" s="363"/>
      <c r="D16" s="17" t="s">
        <v>660</v>
      </c>
      <c r="E16" s="17" t="s">
        <v>661</v>
      </c>
      <c r="F16" s="356"/>
      <c r="G16" s="356"/>
      <c r="H16" s="356"/>
    </row>
    <row r="17" spans="1:8" x14ac:dyDescent="0.25">
      <c r="A17" s="361"/>
      <c r="B17" s="356"/>
      <c r="C17" s="363"/>
      <c r="D17" s="17" t="s">
        <v>662</v>
      </c>
      <c r="E17" s="17" t="s">
        <v>663</v>
      </c>
      <c r="F17" s="356"/>
      <c r="G17" s="356"/>
      <c r="H17" s="356"/>
    </row>
    <row r="18" spans="1:8" x14ac:dyDescent="0.25">
      <c r="A18" s="361"/>
      <c r="B18" s="356"/>
      <c r="C18" s="363"/>
      <c r="D18" s="17" t="s">
        <v>664</v>
      </c>
      <c r="E18" s="17" t="s">
        <v>665</v>
      </c>
      <c r="F18" s="356"/>
      <c r="G18" s="356"/>
      <c r="H18" s="356"/>
    </row>
    <row r="19" spans="1:8" x14ac:dyDescent="0.25">
      <c r="A19" s="361"/>
      <c r="B19" s="357"/>
      <c r="C19" s="364"/>
      <c r="D19" s="17" t="s">
        <v>666</v>
      </c>
      <c r="E19" s="17"/>
      <c r="F19" s="357"/>
      <c r="G19" s="357"/>
      <c r="H19" s="357"/>
    </row>
    <row r="20" spans="1:8" x14ac:dyDescent="0.25">
      <c r="A20" s="361"/>
      <c r="B20" s="355">
        <v>3</v>
      </c>
      <c r="C20" s="362" t="s">
        <v>667</v>
      </c>
      <c r="D20" s="17" t="s">
        <v>668</v>
      </c>
      <c r="E20" s="365" t="s">
        <v>669</v>
      </c>
      <c r="F20" s="355">
        <v>30</v>
      </c>
      <c r="G20" s="355">
        <v>45</v>
      </c>
      <c r="H20" s="355">
        <v>75</v>
      </c>
    </row>
    <row r="21" spans="1:8" x14ac:dyDescent="0.25">
      <c r="A21" s="361"/>
      <c r="B21" s="356"/>
      <c r="C21" s="363"/>
      <c r="D21" s="17" t="s">
        <v>670</v>
      </c>
      <c r="E21" s="366"/>
      <c r="F21" s="356"/>
      <c r="G21" s="356"/>
      <c r="H21" s="356"/>
    </row>
    <row r="22" spans="1:8" ht="42" x14ac:dyDescent="0.25">
      <c r="A22" s="361"/>
      <c r="B22" s="356"/>
      <c r="C22" s="363"/>
      <c r="D22" s="17" t="s">
        <v>671</v>
      </c>
      <c r="E22" s="63" t="s">
        <v>672</v>
      </c>
      <c r="F22" s="356"/>
      <c r="G22" s="356"/>
      <c r="H22" s="356"/>
    </row>
    <row r="23" spans="1:8" x14ac:dyDescent="0.25">
      <c r="A23" s="361"/>
      <c r="B23" s="356"/>
      <c r="C23" s="363"/>
      <c r="D23" s="17" t="s">
        <v>673</v>
      </c>
      <c r="E23" s="17"/>
      <c r="F23" s="356"/>
      <c r="G23" s="356"/>
      <c r="H23" s="356"/>
    </row>
    <row r="24" spans="1:8" x14ac:dyDescent="0.25">
      <c r="A24" s="361"/>
      <c r="B24" s="356"/>
      <c r="C24" s="363"/>
      <c r="D24" s="17" t="s">
        <v>674</v>
      </c>
      <c r="E24" s="17"/>
      <c r="F24" s="356"/>
      <c r="G24" s="356"/>
      <c r="H24" s="356"/>
    </row>
    <row r="25" spans="1:8" x14ac:dyDescent="0.25">
      <c r="A25" s="361"/>
      <c r="B25" s="356"/>
      <c r="C25" s="363"/>
      <c r="D25" s="17" t="s">
        <v>675</v>
      </c>
      <c r="E25" s="17"/>
      <c r="F25" s="356"/>
      <c r="G25" s="356"/>
      <c r="H25" s="356"/>
    </row>
    <row r="26" spans="1:8" x14ac:dyDescent="0.25">
      <c r="A26" s="361"/>
      <c r="B26" s="356"/>
      <c r="C26" s="363"/>
      <c r="D26" s="17" t="s">
        <v>676</v>
      </c>
      <c r="E26" s="17"/>
      <c r="F26" s="356"/>
      <c r="G26" s="356"/>
      <c r="H26" s="356"/>
    </row>
    <row r="27" spans="1:8" x14ac:dyDescent="0.25">
      <c r="A27" s="361"/>
      <c r="B27" s="356"/>
      <c r="C27" s="363"/>
      <c r="D27" s="17" t="s">
        <v>677</v>
      </c>
      <c r="E27" s="17"/>
      <c r="F27" s="356"/>
      <c r="G27" s="356"/>
      <c r="H27" s="356"/>
    </row>
    <row r="28" spans="1:8" x14ac:dyDescent="0.25">
      <c r="A28" s="361"/>
      <c r="B28" s="357"/>
      <c r="C28" s="364"/>
      <c r="D28" s="17" t="s">
        <v>678</v>
      </c>
      <c r="E28" s="17"/>
      <c r="F28" s="357"/>
      <c r="G28" s="357"/>
      <c r="H28" s="357"/>
    </row>
    <row r="29" spans="1:8" x14ac:dyDescent="0.25">
      <c r="A29" s="361"/>
      <c r="B29" s="355">
        <v>4</v>
      </c>
      <c r="C29" s="362" t="s">
        <v>679</v>
      </c>
      <c r="D29" s="17" t="s">
        <v>680</v>
      </c>
      <c r="E29" s="17"/>
      <c r="F29" s="355">
        <v>30</v>
      </c>
      <c r="G29" s="355"/>
      <c r="H29" s="355">
        <v>30</v>
      </c>
    </row>
    <row r="30" spans="1:8" x14ac:dyDescent="0.25">
      <c r="A30" s="361"/>
      <c r="B30" s="356"/>
      <c r="C30" s="363"/>
      <c r="D30" s="17" t="s">
        <v>681</v>
      </c>
      <c r="E30" s="17"/>
      <c r="F30" s="356"/>
      <c r="G30" s="356"/>
      <c r="H30" s="356"/>
    </row>
    <row r="31" spans="1:8" x14ac:dyDescent="0.25">
      <c r="A31" s="361"/>
      <c r="B31" s="356"/>
      <c r="C31" s="363"/>
      <c r="D31" s="17" t="s">
        <v>682</v>
      </c>
      <c r="E31" s="17"/>
      <c r="F31" s="356"/>
      <c r="G31" s="356"/>
      <c r="H31" s="356"/>
    </row>
    <row r="32" spans="1:8" x14ac:dyDescent="0.25">
      <c r="A32" s="361"/>
      <c r="B32" s="356"/>
      <c r="C32" s="363"/>
      <c r="D32" s="17" t="s">
        <v>683</v>
      </c>
      <c r="E32" s="17"/>
      <c r="F32" s="356"/>
      <c r="G32" s="356"/>
      <c r="H32" s="356"/>
    </row>
    <row r="33" spans="1:8" x14ac:dyDescent="0.25">
      <c r="A33" s="361"/>
      <c r="B33" s="357"/>
      <c r="C33" s="364"/>
      <c r="D33" s="17" t="s">
        <v>684</v>
      </c>
      <c r="E33" s="17"/>
      <c r="F33" s="357"/>
      <c r="G33" s="357"/>
      <c r="H33" s="357"/>
    </row>
    <row r="34" spans="1:8" x14ac:dyDescent="0.25">
      <c r="A34" s="361"/>
      <c r="B34" s="355">
        <v>5</v>
      </c>
      <c r="C34" s="362" t="s">
        <v>685</v>
      </c>
      <c r="D34" s="17" t="s">
        <v>656</v>
      </c>
      <c r="E34" s="17"/>
      <c r="F34" s="355">
        <v>30</v>
      </c>
      <c r="G34" s="355"/>
      <c r="H34" s="355">
        <v>30</v>
      </c>
    </row>
    <row r="35" spans="1:8" x14ac:dyDescent="0.25">
      <c r="A35" s="361"/>
      <c r="B35" s="356"/>
      <c r="C35" s="363"/>
      <c r="D35" s="17" t="s">
        <v>686</v>
      </c>
      <c r="E35" s="17"/>
      <c r="F35" s="356"/>
      <c r="G35" s="356"/>
      <c r="H35" s="356"/>
    </row>
    <row r="36" spans="1:8" x14ac:dyDescent="0.25">
      <c r="A36" s="361"/>
      <c r="B36" s="356"/>
      <c r="C36" s="363"/>
      <c r="D36" s="17" t="s">
        <v>687</v>
      </c>
      <c r="E36" s="17"/>
      <c r="F36" s="356"/>
      <c r="G36" s="356"/>
      <c r="H36" s="356"/>
    </row>
    <row r="37" spans="1:8" x14ac:dyDescent="0.25">
      <c r="A37" s="361"/>
      <c r="B37" s="356"/>
      <c r="C37" s="363"/>
      <c r="D37" s="17" t="s">
        <v>688</v>
      </c>
      <c r="E37" s="17"/>
      <c r="F37" s="356"/>
      <c r="G37" s="356"/>
      <c r="H37" s="356"/>
    </row>
    <row r="38" spans="1:8" x14ac:dyDescent="0.25">
      <c r="A38" s="361"/>
      <c r="B38" s="356"/>
      <c r="C38" s="363"/>
      <c r="D38" s="17" t="s">
        <v>689</v>
      </c>
      <c r="E38" s="17"/>
      <c r="F38" s="356"/>
      <c r="G38" s="356"/>
      <c r="H38" s="356"/>
    </row>
    <row r="39" spans="1:8" x14ac:dyDescent="0.25">
      <c r="A39" s="361"/>
      <c r="B39" s="356"/>
      <c r="C39" s="363"/>
      <c r="D39" s="17" t="s">
        <v>690</v>
      </c>
      <c r="E39" s="17"/>
      <c r="F39" s="356"/>
      <c r="G39" s="356"/>
      <c r="H39" s="356"/>
    </row>
    <row r="40" spans="1:8" x14ac:dyDescent="0.25">
      <c r="A40" s="361"/>
      <c r="B40" s="356"/>
      <c r="C40" s="363"/>
      <c r="D40" s="17" t="s">
        <v>691</v>
      </c>
      <c r="E40" s="17"/>
      <c r="F40" s="356"/>
      <c r="G40" s="356"/>
      <c r="H40" s="356"/>
    </row>
    <row r="41" spans="1:8" x14ac:dyDescent="0.25">
      <c r="A41" s="361"/>
      <c r="B41" s="356"/>
      <c r="C41" s="363"/>
      <c r="D41" s="17" t="s">
        <v>692</v>
      </c>
      <c r="E41" s="17"/>
      <c r="F41" s="356"/>
      <c r="G41" s="356"/>
      <c r="H41" s="356"/>
    </row>
    <row r="42" spans="1:8" x14ac:dyDescent="0.25">
      <c r="A42" s="361"/>
      <c r="B42" s="357"/>
      <c r="C42" s="364"/>
      <c r="D42" s="17" t="s">
        <v>693</v>
      </c>
      <c r="E42" s="17"/>
      <c r="F42" s="357"/>
      <c r="G42" s="357"/>
      <c r="H42" s="357"/>
    </row>
    <row r="43" spans="1:8" x14ac:dyDescent="0.25">
      <c r="A43" s="361"/>
      <c r="B43" s="355">
        <v>6</v>
      </c>
      <c r="C43" s="355" t="s">
        <v>694</v>
      </c>
      <c r="D43" s="17" t="s">
        <v>695</v>
      </c>
      <c r="E43" s="17"/>
      <c r="F43" s="355">
        <v>30</v>
      </c>
      <c r="G43" s="355"/>
      <c r="H43" s="355">
        <v>30</v>
      </c>
    </row>
    <row r="44" spans="1:8" x14ac:dyDescent="0.25">
      <c r="A44" s="361"/>
      <c r="B44" s="356"/>
      <c r="C44" s="356"/>
      <c r="D44" s="17" t="s">
        <v>696</v>
      </c>
      <c r="E44" s="17"/>
      <c r="F44" s="356"/>
      <c r="G44" s="356"/>
      <c r="H44" s="356"/>
    </row>
    <row r="45" spans="1:8" x14ac:dyDescent="0.25">
      <c r="A45" s="361"/>
      <c r="B45" s="356"/>
      <c r="C45" s="356"/>
      <c r="D45" s="17" t="s">
        <v>697</v>
      </c>
      <c r="E45" s="17"/>
      <c r="F45" s="356"/>
      <c r="G45" s="356"/>
      <c r="H45" s="356"/>
    </row>
    <row r="46" spans="1:8" x14ac:dyDescent="0.25">
      <c r="A46" s="361"/>
      <c r="B46" s="356"/>
      <c r="C46" s="356"/>
      <c r="D46" s="17" t="s">
        <v>698</v>
      </c>
      <c r="E46" s="17"/>
      <c r="F46" s="356"/>
      <c r="G46" s="356"/>
      <c r="H46" s="356"/>
    </row>
    <row r="47" spans="1:8" x14ac:dyDescent="0.25">
      <c r="A47" s="361"/>
      <c r="B47" s="357"/>
      <c r="C47" s="357"/>
      <c r="D47" s="17" t="s">
        <v>699</v>
      </c>
      <c r="E47" s="17"/>
      <c r="F47" s="357"/>
      <c r="G47" s="357"/>
      <c r="H47" s="357"/>
    </row>
    <row r="48" spans="1:8" ht="15" x14ac:dyDescent="0.35">
      <c r="E48" s="64" t="s">
        <v>534</v>
      </c>
      <c r="F48" s="65">
        <v>210</v>
      </c>
      <c r="G48" s="66">
        <v>90</v>
      </c>
      <c r="H48" s="67">
        <v>300</v>
      </c>
    </row>
    <row r="49" spans="5:8" ht="15" x14ac:dyDescent="0.35">
      <c r="E49" s="68" t="s">
        <v>536</v>
      </c>
      <c r="F49" s="358">
        <v>5</v>
      </c>
      <c r="G49" s="359"/>
      <c r="H49" s="360"/>
    </row>
  </sheetData>
  <mergeCells count="34">
    <mergeCell ref="A1:H1"/>
    <mergeCell ref="F49:H49"/>
    <mergeCell ref="A3:A47"/>
    <mergeCell ref="B3:B13"/>
    <mergeCell ref="B14:B19"/>
    <mergeCell ref="B20:B28"/>
    <mergeCell ref="B29:B33"/>
    <mergeCell ref="B34:B42"/>
    <mergeCell ref="B43:B47"/>
    <mergeCell ref="C3:C13"/>
    <mergeCell ref="C14:C19"/>
    <mergeCell ref="C20:C28"/>
    <mergeCell ref="C29:C33"/>
    <mergeCell ref="C34:C42"/>
    <mergeCell ref="C43:C47"/>
    <mergeCell ref="E20:E21"/>
    <mergeCell ref="F43:F47"/>
    <mergeCell ref="G3:G13"/>
    <mergeCell ref="G14:G19"/>
    <mergeCell ref="G20:G28"/>
    <mergeCell ref="G29:G33"/>
    <mergeCell ref="G34:G42"/>
    <mergeCell ref="G43:G47"/>
    <mergeCell ref="F3:F13"/>
    <mergeCell ref="F14:F19"/>
    <mergeCell ref="F20:F28"/>
    <mergeCell ref="F29:F33"/>
    <mergeCell ref="F34:F42"/>
    <mergeCell ref="H43:H47"/>
    <mergeCell ref="H3:H13"/>
    <mergeCell ref="H14:H19"/>
    <mergeCell ref="H20:H28"/>
    <mergeCell ref="H29:H33"/>
    <mergeCell ref="H34:H4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9"/>
  <sheetViews>
    <sheetView workbookViewId="0">
      <selection activeCell="D11" sqref="D11"/>
    </sheetView>
  </sheetViews>
  <sheetFormatPr defaultColWidth="9" defaultRowHeight="15" x14ac:dyDescent="0.35"/>
  <cols>
    <col min="1" max="1" width="20.453125" customWidth="1"/>
    <col min="2" max="2" width="24.453125" style="28" customWidth="1"/>
    <col min="3" max="3" width="56.453125" customWidth="1"/>
    <col min="4" max="4" width="51.08984375" customWidth="1"/>
    <col min="5" max="5" width="16.453125" style="29" customWidth="1"/>
    <col min="6" max="6" width="13.1796875" style="29" customWidth="1"/>
    <col min="7" max="7" width="17.90625" style="29" customWidth="1"/>
  </cols>
  <sheetData>
    <row r="1" spans="1:7" ht="26" x14ac:dyDescent="0.25">
      <c r="A1" s="308" t="s">
        <v>10</v>
      </c>
      <c r="B1" s="308"/>
      <c r="C1" s="308"/>
      <c r="D1" s="308"/>
      <c r="E1" s="308"/>
      <c r="F1" s="308"/>
      <c r="G1" s="308"/>
    </row>
    <row r="2" spans="1:7" ht="47.15" customHeight="1" x14ac:dyDescent="0.25">
      <c r="A2" s="30" t="s">
        <v>700</v>
      </c>
      <c r="B2" s="31" t="s">
        <v>701</v>
      </c>
      <c r="C2" s="31" t="s">
        <v>702</v>
      </c>
      <c r="D2" s="31" t="s">
        <v>703</v>
      </c>
      <c r="E2" s="6" t="s">
        <v>539</v>
      </c>
      <c r="F2" s="6" t="s">
        <v>540</v>
      </c>
      <c r="G2" s="7" t="s">
        <v>541</v>
      </c>
    </row>
    <row r="3" spans="1:7" ht="47.15" customHeight="1" x14ac:dyDescent="0.25">
      <c r="A3" s="381" t="s">
        <v>704</v>
      </c>
      <c r="B3" s="385" t="s">
        <v>705</v>
      </c>
      <c r="C3" s="375" t="s">
        <v>706</v>
      </c>
      <c r="D3" s="32" t="s">
        <v>707</v>
      </c>
      <c r="E3" s="355">
        <v>20</v>
      </c>
      <c r="F3" s="355"/>
      <c r="G3" s="370">
        <v>20</v>
      </c>
    </row>
    <row r="4" spans="1:7" ht="47.15" customHeight="1" x14ac:dyDescent="0.25">
      <c r="A4" s="381"/>
      <c r="B4" s="385"/>
      <c r="C4" s="375"/>
      <c r="D4" s="375" t="s">
        <v>708</v>
      </c>
      <c r="E4" s="356"/>
      <c r="F4" s="356"/>
      <c r="G4" s="371"/>
    </row>
    <row r="5" spans="1:7" ht="47.15" customHeight="1" x14ac:dyDescent="0.25">
      <c r="A5" s="381"/>
      <c r="B5" s="385"/>
      <c r="C5" s="375"/>
      <c r="D5" s="375"/>
      <c r="E5" s="357"/>
      <c r="F5" s="357"/>
      <c r="G5" s="372"/>
    </row>
    <row r="6" spans="1:7" ht="47.15" customHeight="1" x14ac:dyDescent="0.25">
      <c r="A6" s="381"/>
      <c r="B6" s="33" t="s">
        <v>709</v>
      </c>
      <c r="C6" s="34" t="s">
        <v>710</v>
      </c>
      <c r="D6" s="35"/>
      <c r="E6" s="361">
        <v>20</v>
      </c>
      <c r="F6" s="361"/>
      <c r="G6" s="367">
        <v>20</v>
      </c>
    </row>
    <row r="7" spans="1:7" ht="47.15" customHeight="1" x14ac:dyDescent="0.25">
      <c r="A7" s="381"/>
      <c r="B7" s="33" t="s">
        <v>711</v>
      </c>
      <c r="C7" s="34" t="s">
        <v>712</v>
      </c>
      <c r="D7" s="35"/>
      <c r="E7" s="361"/>
      <c r="F7" s="361"/>
      <c r="G7" s="367"/>
    </row>
    <row r="8" spans="1:7" ht="47.15" customHeight="1" x14ac:dyDescent="0.25">
      <c r="A8" s="381"/>
      <c r="B8" s="386" t="s">
        <v>713</v>
      </c>
      <c r="C8" s="376" t="s">
        <v>714</v>
      </c>
      <c r="D8" s="376" t="s">
        <v>715</v>
      </c>
      <c r="E8" s="361">
        <v>20</v>
      </c>
      <c r="F8" s="361"/>
      <c r="G8" s="367">
        <v>20</v>
      </c>
    </row>
    <row r="9" spans="1:7" ht="47.15" customHeight="1" x14ac:dyDescent="0.25">
      <c r="A9" s="381"/>
      <c r="B9" s="386"/>
      <c r="C9" s="376"/>
      <c r="D9" s="376"/>
      <c r="E9" s="361"/>
      <c r="F9" s="361"/>
      <c r="G9" s="367"/>
    </row>
    <row r="10" spans="1:7" ht="47.15" customHeight="1" x14ac:dyDescent="0.25">
      <c r="A10" s="381"/>
      <c r="B10" s="387" t="s">
        <v>716</v>
      </c>
      <c r="C10" s="395" t="s">
        <v>717</v>
      </c>
      <c r="D10" s="40" t="s">
        <v>718</v>
      </c>
      <c r="E10" s="361">
        <v>20</v>
      </c>
      <c r="F10" s="361"/>
      <c r="G10" s="367">
        <v>20</v>
      </c>
    </row>
    <row r="11" spans="1:7" ht="47.15" customHeight="1" x14ac:dyDescent="0.25">
      <c r="A11" s="381"/>
      <c r="B11" s="387"/>
      <c r="C11" s="395"/>
      <c r="D11" s="225" t="s">
        <v>944</v>
      </c>
      <c r="E11" s="361"/>
      <c r="F11" s="361"/>
      <c r="G11" s="367"/>
    </row>
    <row r="12" spans="1:7" ht="47.15" customHeight="1" x14ac:dyDescent="0.25">
      <c r="A12" s="381"/>
      <c r="B12" s="387"/>
      <c r="C12" s="395"/>
      <c r="D12" s="41" t="s">
        <v>719</v>
      </c>
      <c r="E12" s="361">
        <v>20</v>
      </c>
      <c r="F12" s="361"/>
      <c r="G12" s="367">
        <v>20</v>
      </c>
    </row>
    <row r="13" spans="1:7" ht="47.15" customHeight="1" x14ac:dyDescent="0.25">
      <c r="A13" s="381"/>
      <c r="B13" s="387"/>
      <c r="C13" s="395"/>
      <c r="D13" s="41" t="s">
        <v>720</v>
      </c>
      <c r="E13" s="361"/>
      <c r="F13" s="361"/>
      <c r="G13" s="367"/>
    </row>
    <row r="14" spans="1:7" ht="47.15" customHeight="1" x14ac:dyDescent="0.25">
      <c r="A14" s="381"/>
      <c r="B14" s="387"/>
      <c r="C14" s="395"/>
      <c r="D14" s="41" t="s">
        <v>721</v>
      </c>
      <c r="E14" s="36">
        <v>20</v>
      </c>
      <c r="F14" s="36"/>
      <c r="G14" s="37">
        <v>20</v>
      </c>
    </row>
    <row r="15" spans="1:7" ht="47.15" customHeight="1" x14ac:dyDescent="0.25">
      <c r="A15" s="381"/>
      <c r="B15" s="387"/>
      <c r="C15" s="395"/>
      <c r="D15" s="41" t="s">
        <v>722</v>
      </c>
      <c r="E15" s="361">
        <v>20</v>
      </c>
      <c r="F15" s="361"/>
      <c r="G15" s="367">
        <v>20</v>
      </c>
    </row>
    <row r="16" spans="1:7" ht="47.15" customHeight="1" x14ac:dyDescent="0.25">
      <c r="A16" s="381"/>
      <c r="B16" s="387"/>
      <c r="C16" s="395"/>
      <c r="D16" s="41" t="s">
        <v>723</v>
      </c>
      <c r="E16" s="361"/>
      <c r="F16" s="361"/>
      <c r="G16" s="367"/>
    </row>
    <row r="17" spans="1:7" ht="47.15" customHeight="1" x14ac:dyDescent="0.25">
      <c r="A17" s="381"/>
      <c r="B17" s="387"/>
      <c r="C17" s="395"/>
      <c r="D17" s="41" t="s">
        <v>724</v>
      </c>
      <c r="E17" s="36">
        <v>20</v>
      </c>
      <c r="F17" s="36"/>
      <c r="G17" s="37">
        <v>20</v>
      </c>
    </row>
    <row r="18" spans="1:7" ht="47.15" customHeight="1" x14ac:dyDescent="0.25">
      <c r="A18" s="381"/>
      <c r="B18" s="387"/>
      <c r="C18" s="395"/>
      <c r="D18" s="41" t="s">
        <v>725</v>
      </c>
      <c r="E18" s="361">
        <v>20</v>
      </c>
      <c r="F18" s="361"/>
      <c r="G18" s="367">
        <v>20</v>
      </c>
    </row>
    <row r="19" spans="1:7" ht="47.15" customHeight="1" x14ac:dyDescent="0.25">
      <c r="A19" s="381"/>
      <c r="B19" s="387"/>
      <c r="C19" s="395"/>
      <c r="D19" s="42" t="s">
        <v>726</v>
      </c>
      <c r="E19" s="361"/>
      <c r="F19" s="361"/>
      <c r="G19" s="367"/>
    </row>
    <row r="20" spans="1:7" ht="84" x14ac:dyDescent="0.25">
      <c r="A20" s="381"/>
      <c r="B20" s="38" t="s">
        <v>727</v>
      </c>
      <c r="C20" s="34" t="s">
        <v>728</v>
      </c>
      <c r="D20" s="43" t="s">
        <v>729</v>
      </c>
      <c r="E20" s="361">
        <v>20</v>
      </c>
      <c r="F20" s="361"/>
      <c r="G20" s="367">
        <v>20</v>
      </c>
    </row>
    <row r="21" spans="1:7" ht="47.15" customHeight="1" x14ac:dyDescent="0.25">
      <c r="A21" s="381"/>
      <c r="B21" s="387" t="s">
        <v>730</v>
      </c>
      <c r="C21" s="396" t="s">
        <v>731</v>
      </c>
      <c r="D21" s="377" t="s">
        <v>732</v>
      </c>
      <c r="E21" s="361"/>
      <c r="F21" s="361"/>
      <c r="G21" s="367"/>
    </row>
    <row r="22" spans="1:7" ht="14" x14ac:dyDescent="0.25">
      <c r="A22" s="381"/>
      <c r="B22" s="387"/>
      <c r="C22" s="396"/>
      <c r="D22" s="377"/>
      <c r="E22" s="361"/>
      <c r="F22" s="361"/>
      <c r="G22" s="367"/>
    </row>
    <row r="23" spans="1:7" ht="47.15" customHeight="1" x14ac:dyDescent="0.25">
      <c r="A23" s="381" t="s">
        <v>733</v>
      </c>
      <c r="B23" s="387" t="s">
        <v>734</v>
      </c>
      <c r="C23" s="397" t="s">
        <v>735</v>
      </c>
      <c r="D23" s="45" t="s">
        <v>736</v>
      </c>
      <c r="E23" s="361">
        <v>20</v>
      </c>
      <c r="F23" s="361"/>
      <c r="G23" s="367">
        <v>20</v>
      </c>
    </row>
    <row r="24" spans="1:7" ht="47.15" customHeight="1" x14ac:dyDescent="0.25">
      <c r="A24" s="381"/>
      <c r="B24" s="387"/>
      <c r="C24" s="397"/>
      <c r="D24" s="39" t="s">
        <v>737</v>
      </c>
      <c r="E24" s="361"/>
      <c r="F24" s="361"/>
      <c r="G24" s="367"/>
    </row>
    <row r="25" spans="1:7" ht="47.15" customHeight="1" x14ac:dyDescent="0.25">
      <c r="A25" s="381"/>
      <c r="B25" s="387"/>
      <c r="C25" s="397"/>
      <c r="D25" s="39" t="s">
        <v>738</v>
      </c>
      <c r="E25" s="36">
        <v>20</v>
      </c>
      <c r="F25" s="36"/>
      <c r="G25" s="37">
        <v>20</v>
      </c>
    </row>
    <row r="26" spans="1:7" ht="47.15" customHeight="1" x14ac:dyDescent="0.25">
      <c r="A26" s="381"/>
      <c r="B26" s="387"/>
      <c r="C26" s="397"/>
      <c r="D26" s="44" t="s">
        <v>739</v>
      </c>
      <c r="E26" s="36">
        <v>20</v>
      </c>
      <c r="F26" s="36"/>
      <c r="G26" s="37">
        <v>20</v>
      </c>
    </row>
    <row r="27" spans="1:7" ht="47.15" customHeight="1" x14ac:dyDescent="0.25">
      <c r="A27" s="381"/>
      <c r="B27" s="387"/>
      <c r="C27" s="397"/>
      <c r="D27" s="44" t="s">
        <v>740</v>
      </c>
      <c r="E27" s="361">
        <v>20</v>
      </c>
      <c r="F27" s="361"/>
      <c r="G27" s="367">
        <v>20</v>
      </c>
    </row>
    <row r="28" spans="1:7" ht="47.15" customHeight="1" x14ac:dyDescent="0.25">
      <c r="A28" s="381"/>
      <c r="B28" s="387"/>
      <c r="C28" s="397"/>
      <c r="D28" s="44" t="s">
        <v>741</v>
      </c>
      <c r="E28" s="361"/>
      <c r="F28" s="361"/>
      <c r="G28" s="367"/>
    </row>
    <row r="29" spans="1:7" ht="47.15" customHeight="1" x14ac:dyDescent="0.25">
      <c r="A29" s="381"/>
      <c r="B29" s="387"/>
      <c r="C29" s="397"/>
      <c r="D29" s="44" t="s">
        <v>742</v>
      </c>
      <c r="E29" s="361">
        <v>20</v>
      </c>
      <c r="F29" s="361"/>
      <c r="G29" s="367">
        <v>20</v>
      </c>
    </row>
    <row r="30" spans="1:7" ht="47.15" customHeight="1" x14ac:dyDescent="0.25">
      <c r="A30" s="381"/>
      <c r="B30" s="387"/>
      <c r="C30" s="397"/>
      <c r="D30" s="44" t="s">
        <v>743</v>
      </c>
      <c r="E30" s="361"/>
      <c r="F30" s="361"/>
      <c r="G30" s="367"/>
    </row>
    <row r="31" spans="1:7" ht="47.15" customHeight="1" x14ac:dyDescent="0.25">
      <c r="A31" s="381"/>
      <c r="B31" s="387"/>
      <c r="C31" s="397"/>
      <c r="D31" s="39" t="s">
        <v>744</v>
      </c>
      <c r="E31" s="361">
        <v>20</v>
      </c>
      <c r="F31" s="361"/>
      <c r="G31" s="367">
        <v>20</v>
      </c>
    </row>
    <row r="32" spans="1:7" ht="47.15" customHeight="1" x14ac:dyDescent="0.25">
      <c r="A32" s="381"/>
      <c r="B32" s="387"/>
      <c r="C32" s="397"/>
      <c r="D32" s="39" t="s">
        <v>745</v>
      </c>
      <c r="E32" s="361"/>
      <c r="F32" s="361"/>
      <c r="G32" s="367"/>
    </row>
    <row r="33" spans="1:7" ht="72.5" x14ac:dyDescent="0.25">
      <c r="A33" s="381"/>
      <c r="B33" s="46" t="s">
        <v>746</v>
      </c>
      <c r="C33" s="47"/>
      <c r="D33" s="47"/>
      <c r="E33" s="361">
        <v>20</v>
      </c>
      <c r="F33" s="361"/>
      <c r="G33" s="367">
        <v>20</v>
      </c>
    </row>
    <row r="34" spans="1:7" ht="47.15" customHeight="1" x14ac:dyDescent="0.25">
      <c r="A34" s="381"/>
      <c r="B34" s="388" t="s">
        <v>747</v>
      </c>
      <c r="C34" s="398" t="s">
        <v>748</v>
      </c>
      <c r="D34" s="48" t="s">
        <v>749</v>
      </c>
      <c r="E34" s="361"/>
      <c r="F34" s="361"/>
      <c r="G34" s="367"/>
    </row>
    <row r="35" spans="1:7" ht="47.15" customHeight="1" x14ac:dyDescent="0.25">
      <c r="A35" s="381"/>
      <c r="B35" s="389"/>
      <c r="C35" s="399"/>
      <c r="D35" s="49" t="s">
        <v>750</v>
      </c>
      <c r="E35" s="361">
        <v>20</v>
      </c>
      <c r="F35" s="361"/>
      <c r="G35" s="367">
        <v>20</v>
      </c>
    </row>
    <row r="36" spans="1:7" ht="47.15" customHeight="1" x14ac:dyDescent="0.25">
      <c r="A36" s="381"/>
      <c r="B36" s="389"/>
      <c r="C36" s="399"/>
      <c r="D36" s="49" t="s">
        <v>751</v>
      </c>
      <c r="E36" s="361"/>
      <c r="F36" s="361"/>
      <c r="G36" s="367"/>
    </row>
    <row r="37" spans="1:7" ht="47.15" customHeight="1" x14ac:dyDescent="0.25">
      <c r="A37" s="381"/>
      <c r="B37" s="389"/>
      <c r="C37" s="399"/>
      <c r="D37" s="49" t="s">
        <v>752</v>
      </c>
      <c r="E37" s="361">
        <v>20</v>
      </c>
      <c r="F37" s="361"/>
      <c r="G37" s="367">
        <v>20</v>
      </c>
    </row>
    <row r="38" spans="1:7" ht="47.15" customHeight="1" x14ac:dyDescent="0.25">
      <c r="A38" s="381"/>
      <c r="B38" s="389"/>
      <c r="C38" s="399"/>
      <c r="D38" s="49" t="s">
        <v>753</v>
      </c>
      <c r="E38" s="361"/>
      <c r="F38" s="361"/>
      <c r="G38" s="367"/>
    </row>
    <row r="39" spans="1:7" ht="47.15" customHeight="1" x14ac:dyDescent="0.25">
      <c r="A39" s="381"/>
      <c r="B39" s="389"/>
      <c r="C39" s="399"/>
      <c r="D39" s="49" t="s">
        <v>754</v>
      </c>
      <c r="E39" s="361">
        <v>20</v>
      </c>
      <c r="F39" s="361"/>
      <c r="G39" s="367">
        <v>20</v>
      </c>
    </row>
    <row r="40" spans="1:7" ht="47.15" customHeight="1" x14ac:dyDescent="0.25">
      <c r="A40" s="381"/>
      <c r="B40" s="389"/>
      <c r="C40" s="399"/>
      <c r="D40" s="49" t="s">
        <v>755</v>
      </c>
      <c r="E40" s="361"/>
      <c r="F40" s="361"/>
      <c r="G40" s="367"/>
    </row>
    <row r="41" spans="1:7" ht="47.15" customHeight="1" x14ac:dyDescent="0.25">
      <c r="A41" s="381"/>
      <c r="B41" s="389"/>
      <c r="C41" s="399"/>
      <c r="D41" s="49" t="s">
        <v>756</v>
      </c>
      <c r="E41" s="361">
        <v>20</v>
      </c>
      <c r="F41" s="361"/>
      <c r="G41" s="367">
        <v>20</v>
      </c>
    </row>
    <row r="42" spans="1:7" ht="47.15" customHeight="1" x14ac:dyDescent="0.25">
      <c r="A42" s="381"/>
      <c r="B42" s="389"/>
      <c r="C42" s="399"/>
      <c r="D42" s="49" t="s">
        <v>757</v>
      </c>
      <c r="E42" s="361"/>
      <c r="F42" s="361"/>
      <c r="G42" s="367"/>
    </row>
    <row r="43" spans="1:7" ht="47.15" customHeight="1" x14ac:dyDescent="0.25">
      <c r="A43" s="381"/>
      <c r="B43" s="389"/>
      <c r="C43" s="399"/>
      <c r="D43" s="49" t="s">
        <v>758</v>
      </c>
      <c r="E43" s="361">
        <v>20</v>
      </c>
      <c r="F43" s="361"/>
      <c r="G43" s="367">
        <v>20</v>
      </c>
    </row>
    <row r="44" spans="1:7" ht="47.15" customHeight="1" x14ac:dyDescent="0.25">
      <c r="A44" s="381"/>
      <c r="B44" s="389"/>
      <c r="C44" s="399"/>
      <c r="D44" s="49" t="s">
        <v>759</v>
      </c>
      <c r="E44" s="361"/>
      <c r="F44" s="361"/>
      <c r="G44" s="367"/>
    </row>
    <row r="45" spans="1:7" ht="47.15" customHeight="1" x14ac:dyDescent="0.25">
      <c r="A45" s="381"/>
      <c r="B45" s="389"/>
      <c r="C45" s="399"/>
      <c r="D45" s="49" t="s">
        <v>760</v>
      </c>
      <c r="E45" s="361">
        <v>20</v>
      </c>
      <c r="F45" s="361"/>
      <c r="G45" s="367">
        <v>20</v>
      </c>
    </row>
    <row r="46" spans="1:7" ht="47.15" customHeight="1" x14ac:dyDescent="0.25">
      <c r="A46" s="381"/>
      <c r="B46" s="389"/>
      <c r="C46" s="399"/>
      <c r="D46" s="49" t="s">
        <v>761</v>
      </c>
      <c r="E46" s="361"/>
      <c r="F46" s="361"/>
      <c r="G46" s="367"/>
    </row>
    <row r="47" spans="1:7" ht="47.15" customHeight="1" x14ac:dyDescent="0.25">
      <c r="A47" s="381"/>
      <c r="B47" s="389"/>
      <c r="C47" s="399"/>
      <c r="D47" s="49" t="s">
        <v>762</v>
      </c>
      <c r="E47" s="361">
        <v>20</v>
      </c>
      <c r="F47" s="361"/>
      <c r="G47" s="367">
        <v>20</v>
      </c>
    </row>
    <row r="48" spans="1:7" ht="47.15" customHeight="1" x14ac:dyDescent="0.25">
      <c r="A48" s="381"/>
      <c r="B48" s="389"/>
      <c r="C48" s="399"/>
      <c r="D48" s="49" t="s">
        <v>763</v>
      </c>
      <c r="E48" s="361"/>
      <c r="F48" s="361"/>
      <c r="G48" s="367"/>
    </row>
    <row r="49" spans="1:7" ht="47.15" customHeight="1" x14ac:dyDescent="0.25">
      <c r="A49" s="381"/>
      <c r="B49" s="390"/>
      <c r="C49" s="400"/>
      <c r="D49" s="49" t="s">
        <v>764</v>
      </c>
      <c r="E49" s="361">
        <v>20</v>
      </c>
      <c r="F49" s="361"/>
      <c r="G49" s="367">
        <v>20</v>
      </c>
    </row>
    <row r="50" spans="1:7" ht="47.15" customHeight="1" x14ac:dyDescent="0.25">
      <c r="A50" s="381"/>
      <c r="B50" s="388" t="s">
        <v>765</v>
      </c>
      <c r="C50" s="397" t="s">
        <v>766</v>
      </c>
      <c r="D50" s="45" t="s">
        <v>767</v>
      </c>
      <c r="E50" s="361"/>
      <c r="F50" s="361"/>
      <c r="G50" s="367"/>
    </row>
    <row r="51" spans="1:7" ht="47.15" customHeight="1" x14ac:dyDescent="0.25">
      <c r="A51" s="381"/>
      <c r="B51" s="389"/>
      <c r="C51" s="397"/>
      <c r="D51" s="49" t="s">
        <v>768</v>
      </c>
      <c r="E51" s="361">
        <v>20</v>
      </c>
      <c r="F51" s="361"/>
      <c r="G51" s="367">
        <v>20</v>
      </c>
    </row>
    <row r="52" spans="1:7" ht="47.15" customHeight="1" x14ac:dyDescent="0.25">
      <c r="A52" s="381"/>
      <c r="B52" s="389"/>
      <c r="C52" s="397"/>
      <c r="D52" s="49" t="s">
        <v>769</v>
      </c>
      <c r="E52" s="361"/>
      <c r="F52" s="361"/>
      <c r="G52" s="367"/>
    </row>
    <row r="53" spans="1:7" ht="47.15" customHeight="1" x14ac:dyDescent="0.25">
      <c r="A53" s="381"/>
      <c r="B53" s="389"/>
      <c r="C53" s="397"/>
      <c r="D53" s="49" t="s">
        <v>770</v>
      </c>
      <c r="E53" s="36">
        <v>20</v>
      </c>
      <c r="F53" s="36"/>
      <c r="G53" s="37">
        <v>20</v>
      </c>
    </row>
    <row r="54" spans="1:7" ht="47.15" customHeight="1" x14ac:dyDescent="0.25">
      <c r="A54" s="381"/>
      <c r="B54" s="389"/>
      <c r="C54" s="397"/>
      <c r="D54" s="49" t="s">
        <v>771</v>
      </c>
      <c r="E54" s="36">
        <v>20</v>
      </c>
      <c r="F54" s="36"/>
      <c r="G54" s="37">
        <v>30</v>
      </c>
    </row>
    <row r="55" spans="1:7" ht="47.15" customHeight="1" x14ac:dyDescent="0.25">
      <c r="A55" s="381"/>
      <c r="B55" s="390"/>
      <c r="C55" s="47"/>
      <c r="D55" s="49" t="s">
        <v>772</v>
      </c>
      <c r="E55" s="361">
        <v>20</v>
      </c>
      <c r="F55" s="361"/>
      <c r="G55" s="367">
        <v>20</v>
      </c>
    </row>
    <row r="56" spans="1:7" ht="47.15" customHeight="1" x14ac:dyDescent="0.25">
      <c r="A56" s="381"/>
      <c r="B56" s="391" t="s">
        <v>773</v>
      </c>
      <c r="C56" s="401" t="s">
        <v>774</v>
      </c>
      <c r="D56" s="50" t="s">
        <v>775</v>
      </c>
      <c r="E56" s="361"/>
      <c r="F56" s="361"/>
      <c r="G56" s="367"/>
    </row>
    <row r="57" spans="1:7" ht="47.15" customHeight="1" x14ac:dyDescent="0.25">
      <c r="A57" s="381"/>
      <c r="B57" s="391"/>
      <c r="C57" s="401"/>
      <c r="D57" s="51" t="s">
        <v>776</v>
      </c>
      <c r="E57" s="36">
        <v>20</v>
      </c>
      <c r="F57" s="36"/>
      <c r="G57" s="37">
        <v>30</v>
      </c>
    </row>
    <row r="58" spans="1:7" ht="47.15" customHeight="1" x14ac:dyDescent="0.25">
      <c r="A58" s="381"/>
      <c r="B58" s="391"/>
      <c r="C58" s="401"/>
      <c r="D58" s="51" t="s">
        <v>777</v>
      </c>
      <c r="E58" s="36">
        <v>20</v>
      </c>
      <c r="F58" s="36"/>
      <c r="G58" s="37">
        <v>30</v>
      </c>
    </row>
    <row r="59" spans="1:7" ht="47.15" customHeight="1" x14ac:dyDescent="0.25">
      <c r="A59" s="381"/>
      <c r="B59" s="391"/>
      <c r="C59" s="401"/>
      <c r="D59" s="51" t="s">
        <v>778</v>
      </c>
      <c r="E59" s="36">
        <v>20</v>
      </c>
      <c r="F59" s="36"/>
      <c r="G59" s="37">
        <v>30</v>
      </c>
    </row>
    <row r="60" spans="1:7" ht="47.15" customHeight="1" x14ac:dyDescent="0.25">
      <c r="A60" s="381"/>
      <c r="B60" s="391"/>
      <c r="C60" s="401"/>
      <c r="D60" s="51" t="s">
        <v>779</v>
      </c>
      <c r="E60" s="36">
        <v>20</v>
      </c>
      <c r="F60" s="36"/>
      <c r="G60" s="37">
        <v>30</v>
      </c>
    </row>
    <row r="61" spans="1:7" ht="47.15" customHeight="1" x14ac:dyDescent="0.25">
      <c r="A61" s="381"/>
      <c r="B61" s="391"/>
      <c r="C61" s="401"/>
      <c r="D61" s="51" t="s">
        <v>780</v>
      </c>
      <c r="E61" s="36">
        <v>20</v>
      </c>
      <c r="F61" s="36"/>
      <c r="G61" s="37">
        <v>30</v>
      </c>
    </row>
    <row r="62" spans="1:7" ht="47.15" customHeight="1" x14ac:dyDescent="0.25">
      <c r="A62" s="382" t="s">
        <v>781</v>
      </c>
      <c r="B62" s="387" t="s">
        <v>782</v>
      </c>
      <c r="C62" s="402" t="s">
        <v>783</v>
      </c>
      <c r="D62" s="32" t="s">
        <v>784</v>
      </c>
      <c r="E62" s="36">
        <v>20</v>
      </c>
      <c r="F62" s="36"/>
      <c r="G62" s="37">
        <v>20</v>
      </c>
    </row>
    <row r="63" spans="1:7" ht="47.15" customHeight="1" x14ac:dyDescent="0.25">
      <c r="A63" s="382"/>
      <c r="B63" s="387"/>
      <c r="C63" s="402"/>
      <c r="D63" s="34" t="s">
        <v>785</v>
      </c>
      <c r="E63" s="36">
        <v>20</v>
      </c>
      <c r="F63" s="36"/>
      <c r="G63" s="37">
        <v>30</v>
      </c>
    </row>
    <row r="64" spans="1:7" ht="47.15" customHeight="1" x14ac:dyDescent="0.25">
      <c r="A64" s="382"/>
      <c r="B64" s="387"/>
      <c r="C64" s="402"/>
      <c r="D64" s="34" t="s">
        <v>786</v>
      </c>
      <c r="E64" s="36">
        <v>20</v>
      </c>
      <c r="F64" s="36"/>
      <c r="G64" s="37">
        <v>30</v>
      </c>
    </row>
    <row r="65" spans="1:7" ht="47.15" customHeight="1" x14ac:dyDescent="0.25">
      <c r="A65" s="382"/>
      <c r="B65" s="387"/>
      <c r="C65" s="402"/>
      <c r="D65" s="34" t="s">
        <v>787</v>
      </c>
      <c r="E65" s="361">
        <v>20</v>
      </c>
      <c r="F65" s="361"/>
      <c r="G65" s="367">
        <v>20</v>
      </c>
    </row>
    <row r="66" spans="1:7" ht="47.15" customHeight="1" x14ac:dyDescent="0.25">
      <c r="A66" s="382"/>
      <c r="B66" s="387"/>
      <c r="C66" s="402"/>
      <c r="D66" s="34" t="s">
        <v>788</v>
      </c>
      <c r="E66" s="361"/>
      <c r="F66" s="361"/>
      <c r="G66" s="367"/>
    </row>
    <row r="67" spans="1:7" ht="47.15" customHeight="1" x14ac:dyDescent="0.25">
      <c r="A67" s="382"/>
      <c r="B67" s="387"/>
      <c r="C67" s="402"/>
      <c r="D67" s="34" t="s">
        <v>789</v>
      </c>
      <c r="E67" s="52">
        <v>20</v>
      </c>
      <c r="F67" s="52"/>
      <c r="G67" s="37">
        <v>30</v>
      </c>
    </row>
    <row r="68" spans="1:7" ht="47.15" customHeight="1" x14ac:dyDescent="0.25">
      <c r="A68" s="382"/>
      <c r="B68" s="387"/>
      <c r="C68" s="402"/>
      <c r="D68" s="34" t="s">
        <v>790</v>
      </c>
      <c r="E68" s="52">
        <v>20</v>
      </c>
      <c r="F68" s="52"/>
      <c r="G68" s="37">
        <v>20</v>
      </c>
    </row>
    <row r="69" spans="1:7" ht="72.5" x14ac:dyDescent="0.25">
      <c r="A69" s="382"/>
      <c r="B69" s="46" t="s">
        <v>791</v>
      </c>
      <c r="C69" s="34"/>
      <c r="D69" s="34"/>
      <c r="E69" s="36">
        <v>20</v>
      </c>
      <c r="F69" s="36"/>
      <c r="G69" s="37">
        <v>20</v>
      </c>
    </row>
    <row r="70" spans="1:7" ht="47.15" customHeight="1" x14ac:dyDescent="0.25">
      <c r="A70" s="382"/>
      <c r="B70" s="46"/>
      <c r="C70" s="34"/>
      <c r="D70" s="34"/>
      <c r="E70" s="36">
        <v>20</v>
      </c>
      <c r="F70" s="52"/>
      <c r="G70" s="37">
        <v>20</v>
      </c>
    </row>
    <row r="71" spans="1:7" ht="47.15" customHeight="1" x14ac:dyDescent="0.25">
      <c r="A71" s="382"/>
      <c r="B71" s="46" t="s">
        <v>792</v>
      </c>
      <c r="C71" s="34"/>
      <c r="D71" s="34"/>
      <c r="E71" s="36">
        <v>20</v>
      </c>
      <c r="F71" s="52"/>
      <c r="G71" s="37">
        <v>30</v>
      </c>
    </row>
    <row r="72" spans="1:7" ht="47.15" customHeight="1" x14ac:dyDescent="0.25">
      <c r="A72" s="382"/>
      <c r="B72" s="53"/>
      <c r="C72" s="34"/>
      <c r="D72" s="34"/>
      <c r="E72" s="36">
        <v>20</v>
      </c>
      <c r="F72" s="36"/>
      <c r="G72" s="37">
        <v>30</v>
      </c>
    </row>
    <row r="73" spans="1:7" ht="47.15" customHeight="1" x14ac:dyDescent="0.3">
      <c r="A73" s="383"/>
      <c r="B73" s="392" t="s">
        <v>793</v>
      </c>
      <c r="C73" s="373" t="s">
        <v>794</v>
      </c>
      <c r="D73" s="54" t="s">
        <v>795</v>
      </c>
      <c r="E73" s="36">
        <v>20</v>
      </c>
      <c r="F73" s="36"/>
      <c r="G73" s="37">
        <v>30</v>
      </c>
    </row>
    <row r="74" spans="1:7" ht="47.15" customHeight="1" x14ac:dyDescent="0.3">
      <c r="A74" s="383"/>
      <c r="B74" s="393"/>
      <c r="C74" s="373"/>
      <c r="D74" s="54" t="s">
        <v>796</v>
      </c>
      <c r="E74" s="361">
        <v>20</v>
      </c>
      <c r="F74" s="361"/>
      <c r="G74" s="367">
        <v>30</v>
      </c>
    </row>
    <row r="75" spans="1:7" ht="47.15" customHeight="1" x14ac:dyDescent="0.3">
      <c r="A75" s="383"/>
      <c r="B75" s="393"/>
      <c r="C75" s="373"/>
      <c r="D75" s="54" t="s">
        <v>797</v>
      </c>
      <c r="E75" s="361"/>
      <c r="F75" s="361"/>
      <c r="G75" s="367"/>
    </row>
    <row r="76" spans="1:7" ht="47.15" customHeight="1" x14ac:dyDescent="0.3">
      <c r="A76" s="383"/>
      <c r="B76" s="393"/>
      <c r="C76" s="373"/>
      <c r="D76" s="54" t="s">
        <v>798</v>
      </c>
      <c r="E76" s="361">
        <v>20</v>
      </c>
      <c r="F76" s="361"/>
      <c r="G76" s="367">
        <v>30</v>
      </c>
    </row>
    <row r="77" spans="1:7" ht="47.15" customHeight="1" x14ac:dyDescent="0.3">
      <c r="A77" s="384"/>
      <c r="B77" s="394"/>
      <c r="C77" s="374"/>
      <c r="D77" s="55" t="s">
        <v>799</v>
      </c>
      <c r="E77" s="369"/>
      <c r="F77" s="369"/>
      <c r="G77" s="368"/>
    </row>
    <row r="78" spans="1:7" x14ac:dyDescent="0.35">
      <c r="D78" s="56" t="s">
        <v>331</v>
      </c>
      <c r="E78" s="57">
        <v>930</v>
      </c>
      <c r="F78" s="58"/>
      <c r="G78" s="59">
        <v>1080</v>
      </c>
    </row>
    <row r="79" spans="1:7" x14ac:dyDescent="0.35">
      <c r="D79" s="27" t="s">
        <v>332</v>
      </c>
      <c r="E79" s="378">
        <f>G78/60</f>
        <v>18</v>
      </c>
      <c r="F79" s="379"/>
      <c r="G79" s="380"/>
    </row>
  </sheetData>
  <mergeCells count="106">
    <mergeCell ref="A1:G1"/>
    <mergeCell ref="E79:G79"/>
    <mergeCell ref="A3:A22"/>
    <mergeCell ref="A23:A61"/>
    <mergeCell ref="A62:A77"/>
    <mergeCell ref="B3:B5"/>
    <mergeCell ref="B8:B9"/>
    <mergeCell ref="B10:B19"/>
    <mergeCell ref="B21:B22"/>
    <mergeCell ref="B23:B32"/>
    <mergeCell ref="B34:B49"/>
    <mergeCell ref="B50:B55"/>
    <mergeCell ref="B56:B61"/>
    <mergeCell ref="B62:B68"/>
    <mergeCell ref="B73:B77"/>
    <mergeCell ref="C3:C5"/>
    <mergeCell ref="C8:C9"/>
    <mergeCell ref="C10:C19"/>
    <mergeCell ref="C21:C22"/>
    <mergeCell ref="C23:C32"/>
    <mergeCell ref="C34:C49"/>
    <mergeCell ref="C50:C54"/>
    <mergeCell ref="C56:C61"/>
    <mergeCell ref="C62:C68"/>
    <mergeCell ref="C73:C77"/>
    <mergeCell ref="D4:D5"/>
    <mergeCell ref="D8:D9"/>
    <mergeCell ref="D21:D22"/>
    <mergeCell ref="E3:E5"/>
    <mergeCell ref="E6:E7"/>
    <mergeCell ref="E8:E9"/>
    <mergeCell ref="E10:E11"/>
    <mergeCell ref="E12:E13"/>
    <mergeCell ref="E15:E16"/>
    <mergeCell ref="E18:E19"/>
    <mergeCell ref="E20:E22"/>
    <mergeCell ref="E23:E24"/>
    <mergeCell ref="E27:E28"/>
    <mergeCell ref="E29:E30"/>
    <mergeCell ref="E31:E32"/>
    <mergeCell ref="E33:E34"/>
    <mergeCell ref="E35:E36"/>
    <mergeCell ref="E37:E38"/>
    <mergeCell ref="E39:E40"/>
    <mergeCell ref="E41:E42"/>
    <mergeCell ref="E43:E44"/>
    <mergeCell ref="E45:E46"/>
    <mergeCell ref="E47:E48"/>
    <mergeCell ref="E49:E50"/>
    <mergeCell ref="E51:E52"/>
    <mergeCell ref="E55:E56"/>
    <mergeCell ref="E65:E66"/>
    <mergeCell ref="E74:E75"/>
    <mergeCell ref="E76:E77"/>
    <mergeCell ref="F3:F5"/>
    <mergeCell ref="F6:F7"/>
    <mergeCell ref="F8:F9"/>
    <mergeCell ref="F10:F11"/>
    <mergeCell ref="F12:F13"/>
    <mergeCell ref="F15:F16"/>
    <mergeCell ref="F18:F19"/>
    <mergeCell ref="F20:F22"/>
    <mergeCell ref="F23:F24"/>
    <mergeCell ref="F27:F28"/>
    <mergeCell ref="F29:F30"/>
    <mergeCell ref="F31:F32"/>
    <mergeCell ref="F33:F34"/>
    <mergeCell ref="F35:F36"/>
    <mergeCell ref="F37:F38"/>
    <mergeCell ref="F39:F40"/>
    <mergeCell ref="F41:F42"/>
    <mergeCell ref="F43:F44"/>
    <mergeCell ref="F45:F46"/>
    <mergeCell ref="F47:F48"/>
    <mergeCell ref="F49:F50"/>
    <mergeCell ref="F51:F52"/>
    <mergeCell ref="F55:F56"/>
    <mergeCell ref="F65:F66"/>
    <mergeCell ref="F74:F75"/>
    <mergeCell ref="F76:F77"/>
    <mergeCell ref="G3:G5"/>
    <mergeCell ref="G6:G7"/>
    <mergeCell ref="G8:G9"/>
    <mergeCell ref="G10:G11"/>
    <mergeCell ref="G12:G13"/>
    <mergeCell ref="G15:G16"/>
    <mergeCell ref="G18:G19"/>
    <mergeCell ref="G20:G22"/>
    <mergeCell ref="G23:G24"/>
    <mergeCell ref="G27:G28"/>
    <mergeCell ref="G29:G30"/>
    <mergeCell ref="G31:G32"/>
    <mergeCell ref="G33:G34"/>
    <mergeCell ref="G35:G36"/>
    <mergeCell ref="G37:G38"/>
    <mergeCell ref="G39:G40"/>
    <mergeCell ref="G76:G77"/>
    <mergeCell ref="G41:G42"/>
    <mergeCell ref="G43:G44"/>
    <mergeCell ref="G45:G46"/>
    <mergeCell ref="G47:G48"/>
    <mergeCell ref="G49:G50"/>
    <mergeCell ref="G51:G52"/>
    <mergeCell ref="G55:G56"/>
    <mergeCell ref="G65:G66"/>
    <mergeCell ref="G74:G7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9"/>
  <sheetViews>
    <sheetView topLeftCell="A31" workbookViewId="0">
      <selection activeCell="D13" sqref="D13"/>
    </sheetView>
  </sheetViews>
  <sheetFormatPr defaultColWidth="9" defaultRowHeight="14.5" x14ac:dyDescent="0.25"/>
  <cols>
    <col min="2" max="2" width="16.08984375" customWidth="1"/>
    <col min="3" max="3" width="63.90625" customWidth="1"/>
    <col min="4" max="4" width="19.08984375" style="1" customWidth="1"/>
    <col min="5" max="5" width="14.453125" style="2" customWidth="1"/>
    <col min="6" max="6" width="19.08984375" style="2" customWidth="1"/>
    <col min="7" max="7" width="15.08984375" style="3" customWidth="1"/>
  </cols>
  <sheetData>
    <row r="1" spans="1:7" ht="18" customHeight="1" x14ac:dyDescent="0.25">
      <c r="A1" s="411" t="s">
        <v>11</v>
      </c>
      <c r="B1" s="412"/>
      <c r="C1" s="412"/>
      <c r="D1" s="412"/>
      <c r="E1" s="412"/>
      <c r="F1" s="412"/>
      <c r="G1" s="413"/>
    </row>
    <row r="2" spans="1:7" ht="26.15" customHeight="1" x14ac:dyDescent="0.25">
      <c r="A2" s="4" t="s">
        <v>642</v>
      </c>
      <c r="B2" s="5" t="s">
        <v>18</v>
      </c>
      <c r="C2" s="5" t="s">
        <v>538</v>
      </c>
      <c r="D2" s="5" t="s">
        <v>338</v>
      </c>
      <c r="E2" s="6" t="s">
        <v>539</v>
      </c>
      <c r="F2" s="6" t="s">
        <v>540</v>
      </c>
      <c r="G2" s="7" t="s">
        <v>541</v>
      </c>
    </row>
    <row r="3" spans="1:7" ht="15" customHeight="1" x14ac:dyDescent="0.25">
      <c r="A3" s="414">
        <v>1</v>
      </c>
      <c r="B3" s="417" t="s">
        <v>800</v>
      </c>
      <c r="C3" s="8" t="s">
        <v>801</v>
      </c>
      <c r="D3" s="409" t="s">
        <v>802</v>
      </c>
      <c r="E3" s="298">
        <v>60</v>
      </c>
      <c r="F3" s="298">
        <v>30</v>
      </c>
      <c r="G3" s="403">
        <f>E3+F3</f>
        <v>90</v>
      </c>
    </row>
    <row r="4" spans="1:7" x14ac:dyDescent="0.25">
      <c r="A4" s="415"/>
      <c r="B4" s="407"/>
      <c r="C4" s="10" t="s">
        <v>803</v>
      </c>
      <c r="D4" s="410"/>
      <c r="E4" s="299"/>
      <c r="F4" s="299"/>
      <c r="G4" s="404"/>
    </row>
    <row r="5" spans="1:7" x14ac:dyDescent="0.25">
      <c r="A5" s="415"/>
      <c r="B5" s="407"/>
      <c r="C5" s="9" t="s">
        <v>804</v>
      </c>
      <c r="D5" s="410"/>
      <c r="E5" s="299"/>
      <c r="F5" s="299"/>
      <c r="G5" s="404"/>
    </row>
    <row r="6" spans="1:7" x14ac:dyDescent="0.25">
      <c r="A6" s="415"/>
      <c r="B6" s="407"/>
      <c r="C6" s="9" t="s">
        <v>805</v>
      </c>
      <c r="D6" s="410"/>
      <c r="E6" s="299"/>
      <c r="F6" s="299"/>
      <c r="G6" s="404"/>
    </row>
    <row r="7" spans="1:7" x14ac:dyDescent="0.25">
      <c r="A7" s="415"/>
      <c r="B7" s="407"/>
      <c r="C7" s="9" t="s">
        <v>806</v>
      </c>
      <c r="D7" s="410"/>
      <c r="E7" s="299"/>
      <c r="F7" s="299"/>
      <c r="G7" s="404"/>
    </row>
    <row r="8" spans="1:7" x14ac:dyDescent="0.25">
      <c r="A8" s="415"/>
      <c r="B8" s="407"/>
      <c r="C8" s="9" t="s">
        <v>807</v>
      </c>
      <c r="D8" s="410"/>
      <c r="E8" s="299"/>
      <c r="F8" s="299"/>
      <c r="G8" s="404"/>
    </row>
    <row r="9" spans="1:7" x14ac:dyDescent="0.25">
      <c r="A9" s="415"/>
      <c r="B9" s="407"/>
      <c r="C9" s="9" t="s">
        <v>808</v>
      </c>
      <c r="D9" s="410"/>
      <c r="E9" s="300"/>
      <c r="F9" s="300"/>
      <c r="G9" s="405"/>
    </row>
    <row r="10" spans="1:7" x14ac:dyDescent="0.25">
      <c r="A10" s="415">
        <v>2</v>
      </c>
      <c r="B10" s="9" t="s">
        <v>809</v>
      </c>
      <c r="C10" s="9" t="s">
        <v>810</v>
      </c>
      <c r="D10" s="11" t="s">
        <v>811</v>
      </c>
      <c r="E10" s="298">
        <v>30</v>
      </c>
      <c r="F10" s="298">
        <v>30</v>
      </c>
      <c r="G10" s="403">
        <v>60</v>
      </c>
    </row>
    <row r="11" spans="1:7" ht="29" x14ac:dyDescent="0.25">
      <c r="A11" s="415"/>
      <c r="B11" s="9" t="s">
        <v>812</v>
      </c>
      <c r="C11" s="9" t="s">
        <v>813</v>
      </c>
      <c r="D11" s="11" t="s">
        <v>814</v>
      </c>
      <c r="E11" s="300"/>
      <c r="F11" s="300"/>
      <c r="G11" s="405"/>
    </row>
    <row r="12" spans="1:7" ht="43.5" x14ac:dyDescent="0.25">
      <c r="A12" s="415"/>
      <c r="B12" s="9" t="s">
        <v>815</v>
      </c>
      <c r="C12" s="9" t="s">
        <v>816</v>
      </c>
      <c r="D12" s="11" t="s">
        <v>817</v>
      </c>
      <c r="E12" s="298">
        <v>30</v>
      </c>
      <c r="F12" s="298">
        <v>30</v>
      </c>
      <c r="G12" s="403">
        <v>60</v>
      </c>
    </row>
    <row r="13" spans="1:7" x14ac:dyDescent="0.25">
      <c r="A13" s="415"/>
      <c r="B13" s="12"/>
      <c r="C13" s="9" t="s">
        <v>818</v>
      </c>
      <c r="D13" s="11" t="s">
        <v>819</v>
      </c>
      <c r="E13" s="300"/>
      <c r="F13" s="300"/>
      <c r="G13" s="405"/>
    </row>
    <row r="14" spans="1:7" x14ac:dyDescent="0.25">
      <c r="A14" s="415"/>
      <c r="B14" s="12"/>
      <c r="C14" s="9" t="s">
        <v>820</v>
      </c>
      <c r="D14" s="11" t="s">
        <v>814</v>
      </c>
      <c r="E14" s="298">
        <v>30</v>
      </c>
      <c r="F14" s="298">
        <v>30</v>
      </c>
      <c r="G14" s="403">
        <v>60</v>
      </c>
    </row>
    <row r="15" spans="1:7" ht="72.5" x14ac:dyDescent="0.25">
      <c r="A15" s="415"/>
      <c r="B15" s="12"/>
      <c r="C15" s="9" t="s">
        <v>821</v>
      </c>
      <c r="D15" s="11" t="s">
        <v>822</v>
      </c>
      <c r="E15" s="300"/>
      <c r="F15" s="300"/>
      <c r="G15" s="405"/>
    </row>
    <row r="16" spans="1:7" ht="28.5" customHeight="1" x14ac:dyDescent="0.25">
      <c r="A16" s="415">
        <v>3</v>
      </c>
      <c r="B16" s="407" t="s">
        <v>823</v>
      </c>
      <c r="C16" s="9" t="s">
        <v>824</v>
      </c>
      <c r="D16" s="410" t="s">
        <v>825</v>
      </c>
      <c r="E16" s="298">
        <v>30</v>
      </c>
      <c r="F16" s="298">
        <v>30</v>
      </c>
      <c r="G16" s="403">
        <v>60</v>
      </c>
    </row>
    <row r="17" spans="1:7" x14ac:dyDescent="0.25">
      <c r="A17" s="415"/>
      <c r="B17" s="407"/>
      <c r="C17" s="9" t="s">
        <v>826</v>
      </c>
      <c r="D17" s="410"/>
      <c r="E17" s="299"/>
      <c r="F17" s="299"/>
      <c r="G17" s="404"/>
    </row>
    <row r="18" spans="1:7" ht="29" x14ac:dyDescent="0.25">
      <c r="A18" s="415">
        <v>4</v>
      </c>
      <c r="B18" s="407" t="s">
        <v>827</v>
      </c>
      <c r="C18" s="9" t="s">
        <v>828</v>
      </c>
      <c r="D18" s="11" t="s">
        <v>829</v>
      </c>
      <c r="E18" s="300"/>
      <c r="F18" s="300"/>
      <c r="G18" s="405"/>
    </row>
    <row r="19" spans="1:7" ht="72.5" x14ac:dyDescent="0.25">
      <c r="A19" s="415"/>
      <c r="B19" s="407"/>
      <c r="C19" s="9" t="s">
        <v>830</v>
      </c>
      <c r="D19" s="11" t="s">
        <v>831</v>
      </c>
      <c r="E19" s="13">
        <v>30</v>
      </c>
      <c r="F19" s="13">
        <v>30</v>
      </c>
      <c r="G19" s="14">
        <v>60</v>
      </c>
    </row>
    <row r="20" spans="1:7" ht="29" x14ac:dyDescent="0.25">
      <c r="A20" s="415"/>
      <c r="B20" s="407"/>
      <c r="C20" s="9" t="s">
        <v>832</v>
      </c>
      <c r="D20" s="11" t="s">
        <v>833</v>
      </c>
      <c r="E20" s="298">
        <v>30</v>
      </c>
      <c r="F20" s="298">
        <v>30</v>
      </c>
      <c r="G20" s="403">
        <v>60</v>
      </c>
    </row>
    <row r="21" spans="1:7" x14ac:dyDescent="0.25">
      <c r="A21" s="415"/>
      <c r="B21" s="407"/>
      <c r="C21" s="9" t="s">
        <v>834</v>
      </c>
      <c r="D21" s="15"/>
      <c r="E21" s="299"/>
      <c r="F21" s="299"/>
      <c r="G21" s="404"/>
    </row>
    <row r="22" spans="1:7" ht="29" x14ac:dyDescent="0.25">
      <c r="A22" s="415">
        <v>5</v>
      </c>
      <c r="B22" s="407" t="s">
        <v>835</v>
      </c>
      <c r="C22" s="9" t="s">
        <v>836</v>
      </c>
      <c r="D22" s="11" t="s">
        <v>837</v>
      </c>
      <c r="E22" s="299"/>
      <c r="F22" s="299"/>
      <c r="G22" s="404"/>
    </row>
    <row r="23" spans="1:7" ht="29" x14ac:dyDescent="0.25">
      <c r="A23" s="415"/>
      <c r="B23" s="407"/>
      <c r="C23" s="9" t="s">
        <v>838</v>
      </c>
      <c r="D23" s="11" t="s">
        <v>839</v>
      </c>
      <c r="E23" s="299"/>
      <c r="F23" s="299"/>
      <c r="G23" s="404"/>
    </row>
    <row r="24" spans="1:7" x14ac:dyDescent="0.25">
      <c r="A24" s="415"/>
      <c r="B24" s="407"/>
      <c r="C24" s="9" t="s">
        <v>840</v>
      </c>
      <c r="D24" s="11" t="s">
        <v>841</v>
      </c>
      <c r="E24" s="300"/>
      <c r="F24" s="300"/>
      <c r="G24" s="405"/>
    </row>
    <row r="25" spans="1:7" x14ac:dyDescent="0.25">
      <c r="A25" s="415"/>
      <c r="B25" s="407"/>
      <c r="C25" s="9" t="s">
        <v>842</v>
      </c>
      <c r="D25" s="11" t="s">
        <v>843</v>
      </c>
      <c r="E25" s="298">
        <v>30</v>
      </c>
      <c r="F25" s="298">
        <v>30</v>
      </c>
      <c r="G25" s="403">
        <v>60</v>
      </c>
    </row>
    <row r="26" spans="1:7" x14ac:dyDescent="0.25">
      <c r="A26" s="415"/>
      <c r="B26" s="407"/>
      <c r="C26" s="9" t="s">
        <v>844</v>
      </c>
      <c r="D26" s="15"/>
      <c r="E26" s="299"/>
      <c r="F26" s="299"/>
      <c r="G26" s="404"/>
    </row>
    <row r="27" spans="1:7" x14ac:dyDescent="0.25">
      <c r="A27" s="415"/>
      <c r="B27" s="407"/>
      <c r="C27" s="9" t="s">
        <v>845</v>
      </c>
      <c r="D27" s="15"/>
      <c r="E27" s="299"/>
      <c r="F27" s="299"/>
      <c r="G27" s="404"/>
    </row>
    <row r="28" spans="1:7" x14ac:dyDescent="0.25">
      <c r="A28" s="415"/>
      <c r="B28" s="407"/>
      <c r="C28" s="9" t="s">
        <v>846</v>
      </c>
      <c r="D28" s="15"/>
      <c r="E28" s="299"/>
      <c r="F28" s="299"/>
      <c r="G28" s="404"/>
    </row>
    <row r="29" spans="1:7" x14ac:dyDescent="0.25">
      <c r="A29" s="415"/>
      <c r="B29" s="407"/>
      <c r="C29" s="9" t="s">
        <v>847</v>
      </c>
      <c r="D29" s="15"/>
      <c r="E29" s="299"/>
      <c r="F29" s="299"/>
      <c r="G29" s="404"/>
    </row>
    <row r="30" spans="1:7" ht="18.5" x14ac:dyDescent="0.25">
      <c r="A30" s="16"/>
      <c r="B30" s="17"/>
      <c r="C30" s="17"/>
      <c r="D30" s="18"/>
      <c r="E30" s="300"/>
      <c r="F30" s="300"/>
      <c r="G30" s="405"/>
    </row>
    <row r="31" spans="1:7" ht="72.5" x14ac:dyDescent="0.25">
      <c r="A31" s="415">
        <v>6</v>
      </c>
      <c r="B31" s="407" t="s">
        <v>848</v>
      </c>
      <c r="C31" s="9" t="s">
        <v>849</v>
      </c>
      <c r="D31" s="11" t="s">
        <v>850</v>
      </c>
      <c r="E31" s="13">
        <v>30</v>
      </c>
      <c r="F31" s="13">
        <v>30</v>
      </c>
      <c r="G31" s="14">
        <v>60</v>
      </c>
    </row>
    <row r="32" spans="1:7" ht="29" x14ac:dyDescent="0.25">
      <c r="A32" s="415"/>
      <c r="B32" s="407"/>
      <c r="C32" s="10" t="s">
        <v>851</v>
      </c>
      <c r="D32" s="11" t="s">
        <v>852</v>
      </c>
      <c r="E32" s="298">
        <v>30</v>
      </c>
      <c r="F32" s="298">
        <v>30</v>
      </c>
      <c r="G32" s="403">
        <v>60</v>
      </c>
    </row>
    <row r="33" spans="1:7" ht="29" x14ac:dyDescent="0.25">
      <c r="A33" s="415"/>
      <c r="B33" s="407"/>
      <c r="C33" s="9" t="s">
        <v>853</v>
      </c>
      <c r="D33" s="11" t="s">
        <v>854</v>
      </c>
      <c r="E33" s="299"/>
      <c r="F33" s="299"/>
      <c r="G33" s="404"/>
    </row>
    <row r="34" spans="1:7" x14ac:dyDescent="0.25">
      <c r="A34" s="415"/>
      <c r="B34" s="407"/>
      <c r="C34" s="9" t="s">
        <v>855</v>
      </c>
      <c r="D34" s="11" t="s">
        <v>856</v>
      </c>
      <c r="E34" s="300"/>
      <c r="F34" s="300"/>
      <c r="G34" s="405"/>
    </row>
    <row r="35" spans="1:7" x14ac:dyDescent="0.25">
      <c r="A35" s="415"/>
      <c r="B35" s="407"/>
      <c r="C35" s="9" t="s">
        <v>857</v>
      </c>
      <c r="D35" s="15"/>
      <c r="E35" s="298">
        <v>30</v>
      </c>
      <c r="F35" s="298">
        <v>30</v>
      </c>
      <c r="G35" s="403">
        <v>60</v>
      </c>
    </row>
    <row r="36" spans="1:7" x14ac:dyDescent="0.25">
      <c r="A36" s="415"/>
      <c r="B36" s="407"/>
      <c r="C36" s="9" t="s">
        <v>858</v>
      </c>
      <c r="D36" s="15"/>
      <c r="E36" s="299"/>
      <c r="F36" s="299"/>
      <c r="G36" s="404"/>
    </row>
    <row r="37" spans="1:7" x14ac:dyDescent="0.25">
      <c r="A37" s="415"/>
      <c r="B37" s="407"/>
      <c r="C37" s="9" t="s">
        <v>859</v>
      </c>
      <c r="D37" s="15"/>
      <c r="E37" s="299"/>
      <c r="F37" s="299"/>
      <c r="G37" s="404"/>
    </row>
    <row r="38" spans="1:7" x14ac:dyDescent="0.25">
      <c r="A38" s="415"/>
      <c r="B38" s="407"/>
      <c r="C38" s="9" t="s">
        <v>860</v>
      </c>
      <c r="D38" s="15"/>
      <c r="E38" s="299"/>
      <c r="F38" s="299"/>
      <c r="G38" s="404"/>
    </row>
    <row r="39" spans="1:7" x14ac:dyDescent="0.25">
      <c r="A39" s="415"/>
      <c r="B39" s="407"/>
      <c r="C39" s="9" t="s">
        <v>861</v>
      </c>
      <c r="D39" s="15"/>
      <c r="E39" s="299"/>
      <c r="F39" s="299"/>
      <c r="G39" s="404"/>
    </row>
    <row r="40" spans="1:7" x14ac:dyDescent="0.25">
      <c r="A40" s="415"/>
      <c r="B40" s="407"/>
      <c r="C40" s="9" t="s">
        <v>859</v>
      </c>
      <c r="D40" s="15"/>
      <c r="E40" s="300"/>
      <c r="F40" s="300"/>
      <c r="G40" s="405"/>
    </row>
    <row r="41" spans="1:7" ht="58" x14ac:dyDescent="0.25">
      <c r="A41" s="415">
        <v>7</v>
      </c>
      <c r="B41" s="406" t="s">
        <v>862</v>
      </c>
      <c r="C41" s="9" t="s">
        <v>863</v>
      </c>
      <c r="D41" s="11" t="s">
        <v>864</v>
      </c>
      <c r="E41" s="298">
        <v>30</v>
      </c>
      <c r="F41" s="298">
        <v>30</v>
      </c>
      <c r="G41" s="403">
        <v>60</v>
      </c>
    </row>
    <row r="42" spans="1:7" x14ac:dyDescent="0.25">
      <c r="A42" s="415"/>
      <c r="B42" s="406"/>
      <c r="C42" s="9" t="s">
        <v>865</v>
      </c>
      <c r="D42" s="11" t="s">
        <v>866</v>
      </c>
      <c r="E42" s="299"/>
      <c r="F42" s="299"/>
      <c r="G42" s="404"/>
    </row>
    <row r="43" spans="1:7" ht="29" x14ac:dyDescent="0.25">
      <c r="A43" s="415"/>
      <c r="B43" s="406"/>
      <c r="C43" s="9" t="s">
        <v>867</v>
      </c>
      <c r="D43" s="11" t="s">
        <v>868</v>
      </c>
      <c r="E43" s="300"/>
      <c r="F43" s="300"/>
      <c r="G43" s="405"/>
    </row>
    <row r="44" spans="1:7" x14ac:dyDescent="0.25">
      <c r="A44" s="415"/>
      <c r="B44" s="406"/>
      <c r="C44" s="9" t="s">
        <v>869</v>
      </c>
      <c r="D44" s="11" t="s">
        <v>870</v>
      </c>
      <c r="E44" s="298">
        <v>30</v>
      </c>
      <c r="F44" s="298">
        <v>30</v>
      </c>
      <c r="G44" s="403">
        <v>60</v>
      </c>
    </row>
    <row r="45" spans="1:7" x14ac:dyDescent="0.25">
      <c r="A45" s="415"/>
      <c r="B45" s="406"/>
      <c r="C45" s="9" t="s">
        <v>871</v>
      </c>
      <c r="D45" s="11" t="s">
        <v>872</v>
      </c>
      <c r="E45" s="299"/>
      <c r="F45" s="299"/>
      <c r="G45" s="404"/>
    </row>
    <row r="46" spans="1:7" ht="43.5" x14ac:dyDescent="0.25">
      <c r="A46" s="415"/>
      <c r="B46" s="406"/>
      <c r="C46" s="9" t="s">
        <v>873</v>
      </c>
      <c r="D46" s="11" t="s">
        <v>874</v>
      </c>
      <c r="E46" s="299"/>
      <c r="F46" s="299"/>
      <c r="G46" s="404"/>
    </row>
    <row r="47" spans="1:7" x14ac:dyDescent="0.25">
      <c r="A47" s="415"/>
      <c r="B47" s="406"/>
      <c r="C47" s="10" t="s">
        <v>875</v>
      </c>
      <c r="D47" s="15"/>
      <c r="E47" s="299"/>
      <c r="F47" s="299"/>
      <c r="G47" s="404"/>
    </row>
    <row r="48" spans="1:7" x14ac:dyDescent="0.25">
      <c r="A48" s="415"/>
      <c r="B48" s="406"/>
      <c r="C48" s="9" t="s">
        <v>876</v>
      </c>
      <c r="D48" s="15"/>
      <c r="E48" s="300"/>
      <c r="F48" s="300"/>
      <c r="G48" s="405"/>
    </row>
    <row r="49" spans="1:7" x14ac:dyDescent="0.25">
      <c r="A49" s="415"/>
      <c r="B49" s="406"/>
      <c r="C49" s="9" t="s">
        <v>877</v>
      </c>
      <c r="D49" s="15"/>
      <c r="E49" s="298">
        <v>30</v>
      </c>
      <c r="F49" s="298">
        <v>30</v>
      </c>
      <c r="G49" s="403">
        <v>60</v>
      </c>
    </row>
    <row r="50" spans="1:7" x14ac:dyDescent="0.25">
      <c r="A50" s="415"/>
      <c r="B50" s="406"/>
      <c r="C50" s="9" t="s">
        <v>878</v>
      </c>
      <c r="D50" s="15"/>
      <c r="E50" s="299"/>
      <c r="F50" s="299"/>
      <c r="G50" s="404"/>
    </row>
    <row r="51" spans="1:7" x14ac:dyDescent="0.25">
      <c r="A51" s="415"/>
      <c r="B51" s="406"/>
      <c r="C51" s="9" t="s">
        <v>879</v>
      </c>
      <c r="D51" s="15"/>
      <c r="E51" s="299"/>
      <c r="F51" s="299"/>
      <c r="G51" s="404"/>
    </row>
    <row r="52" spans="1:7" x14ac:dyDescent="0.25">
      <c r="A52" s="415"/>
      <c r="B52" s="406"/>
      <c r="C52" s="9" t="s">
        <v>880</v>
      </c>
      <c r="D52" s="15"/>
      <c r="E52" s="300"/>
      <c r="F52" s="300"/>
      <c r="G52" s="405"/>
    </row>
    <row r="53" spans="1:7" ht="43.5" x14ac:dyDescent="0.25">
      <c r="A53" s="415">
        <v>8</v>
      </c>
      <c r="B53" s="407" t="s">
        <v>881</v>
      </c>
      <c r="C53" s="9" t="s">
        <v>882</v>
      </c>
      <c r="D53" s="11" t="s">
        <v>883</v>
      </c>
      <c r="E53" s="298">
        <v>60</v>
      </c>
      <c r="F53" s="298">
        <v>30</v>
      </c>
      <c r="G53" s="403">
        <v>90</v>
      </c>
    </row>
    <row r="54" spans="1:7" x14ac:dyDescent="0.25">
      <c r="A54" s="415"/>
      <c r="B54" s="407"/>
      <c r="C54" s="9" t="s">
        <v>884</v>
      </c>
      <c r="D54" s="11" t="s">
        <v>885</v>
      </c>
      <c r="E54" s="299"/>
      <c r="F54" s="299"/>
      <c r="G54" s="404"/>
    </row>
    <row r="55" spans="1:7" ht="58" x14ac:dyDescent="0.25">
      <c r="A55" s="415"/>
      <c r="B55" s="407"/>
      <c r="C55" s="9" t="s">
        <v>886</v>
      </c>
      <c r="D55" s="11" t="s">
        <v>887</v>
      </c>
      <c r="E55" s="299"/>
      <c r="F55" s="299"/>
      <c r="G55" s="404"/>
    </row>
    <row r="56" spans="1:7" x14ac:dyDescent="0.25">
      <c r="A56" s="415"/>
      <c r="B56" s="407"/>
      <c r="C56" s="9" t="s">
        <v>888</v>
      </c>
      <c r="D56" s="15"/>
      <c r="E56" s="299"/>
      <c r="F56" s="299"/>
      <c r="G56" s="404"/>
    </row>
    <row r="57" spans="1:7" x14ac:dyDescent="0.25">
      <c r="A57" s="415"/>
      <c r="B57" s="407"/>
      <c r="C57" s="9" t="s">
        <v>889</v>
      </c>
      <c r="D57" s="15"/>
      <c r="E57" s="299"/>
      <c r="F57" s="299"/>
      <c r="G57" s="404"/>
    </row>
    <row r="58" spans="1:7" x14ac:dyDescent="0.25">
      <c r="A58" s="415"/>
      <c r="B58" s="407"/>
      <c r="C58" s="9" t="s">
        <v>890</v>
      </c>
      <c r="D58" s="15"/>
      <c r="E58" s="299"/>
      <c r="F58" s="299"/>
      <c r="G58" s="404"/>
    </row>
    <row r="59" spans="1:7" x14ac:dyDescent="0.25">
      <c r="A59" s="415"/>
      <c r="B59" s="407"/>
      <c r="C59" s="9" t="s">
        <v>891</v>
      </c>
      <c r="D59" s="15"/>
      <c r="E59" s="300"/>
      <c r="F59" s="300"/>
      <c r="G59" s="405"/>
    </row>
    <row r="60" spans="1:7" ht="44.15" customHeight="1" x14ac:dyDescent="0.25">
      <c r="A60" s="415">
        <v>9</v>
      </c>
      <c r="B60" s="406" t="s">
        <v>892</v>
      </c>
      <c r="C60" s="9" t="s">
        <v>893</v>
      </c>
      <c r="D60" s="11" t="s">
        <v>894</v>
      </c>
      <c r="E60" s="298">
        <v>30</v>
      </c>
      <c r="F60" s="298">
        <v>30</v>
      </c>
      <c r="G60" s="403">
        <v>60</v>
      </c>
    </row>
    <row r="61" spans="1:7" x14ac:dyDescent="0.25">
      <c r="A61" s="415"/>
      <c r="B61" s="406"/>
      <c r="C61" s="9" t="s">
        <v>895</v>
      </c>
      <c r="D61" s="11" t="s">
        <v>896</v>
      </c>
      <c r="E61" s="299"/>
      <c r="F61" s="299"/>
      <c r="G61" s="404"/>
    </row>
    <row r="62" spans="1:7" x14ac:dyDescent="0.25">
      <c r="A62" s="415"/>
      <c r="B62" s="406"/>
      <c r="C62" s="9" t="s">
        <v>897</v>
      </c>
      <c r="D62" s="11" t="s">
        <v>898</v>
      </c>
      <c r="E62" s="299"/>
      <c r="F62" s="299"/>
      <c r="G62" s="404"/>
    </row>
    <row r="63" spans="1:7" x14ac:dyDescent="0.25">
      <c r="A63" s="415"/>
      <c r="B63" s="406"/>
      <c r="C63" s="9" t="s">
        <v>899</v>
      </c>
      <c r="D63" s="11" t="s">
        <v>900</v>
      </c>
      <c r="E63" s="299"/>
      <c r="F63" s="299"/>
      <c r="G63" s="404"/>
    </row>
    <row r="64" spans="1:7" x14ac:dyDescent="0.25">
      <c r="A64" s="415"/>
      <c r="B64" s="406"/>
      <c r="C64" s="9" t="s">
        <v>901</v>
      </c>
      <c r="D64" s="11" t="s">
        <v>902</v>
      </c>
      <c r="E64" s="300"/>
      <c r="F64" s="300"/>
      <c r="G64" s="405"/>
    </row>
    <row r="65" spans="1:7" ht="29" x14ac:dyDescent="0.25">
      <c r="A65" s="415"/>
      <c r="B65" s="406"/>
      <c r="C65" s="9" t="s">
        <v>903</v>
      </c>
      <c r="D65" s="19" t="s">
        <v>904</v>
      </c>
      <c r="E65" s="298">
        <v>30</v>
      </c>
      <c r="F65" s="298">
        <v>30</v>
      </c>
      <c r="G65" s="403">
        <v>60</v>
      </c>
    </row>
    <row r="66" spans="1:7" x14ac:dyDescent="0.25">
      <c r="A66" s="415"/>
      <c r="B66" s="406"/>
      <c r="C66" s="9" t="s">
        <v>905</v>
      </c>
      <c r="D66" s="15"/>
      <c r="E66" s="299"/>
      <c r="F66" s="299"/>
      <c r="G66" s="404"/>
    </row>
    <row r="67" spans="1:7" x14ac:dyDescent="0.25">
      <c r="A67" s="416"/>
      <c r="B67" s="408"/>
      <c r="C67" s="20" t="s">
        <v>906</v>
      </c>
      <c r="D67" s="21"/>
      <c r="E67" s="299"/>
      <c r="F67" s="299"/>
      <c r="G67" s="404"/>
    </row>
    <row r="68" spans="1:7" x14ac:dyDescent="0.25">
      <c r="A68" s="22" t="s">
        <v>907</v>
      </c>
      <c r="D68" s="23" t="s">
        <v>331</v>
      </c>
      <c r="E68" s="24">
        <v>810</v>
      </c>
      <c r="F68" s="24">
        <f>G68-E68</f>
        <v>270</v>
      </c>
      <c r="G68" s="25">
        <v>1080</v>
      </c>
    </row>
    <row r="69" spans="1:7" ht="15" x14ac:dyDescent="0.35">
      <c r="D69" s="26" t="s">
        <v>332</v>
      </c>
      <c r="E69" s="378">
        <f>G68/60</f>
        <v>18</v>
      </c>
      <c r="F69" s="379"/>
      <c r="G69" s="379"/>
    </row>
  </sheetData>
  <mergeCells count="66">
    <mergeCell ref="A1:G1"/>
    <mergeCell ref="E69:G69"/>
    <mergeCell ref="A3:A9"/>
    <mergeCell ref="A10:A15"/>
    <mergeCell ref="A16:A17"/>
    <mergeCell ref="A18:A21"/>
    <mergeCell ref="A22:A29"/>
    <mergeCell ref="A31:A40"/>
    <mergeCell ref="A41:A52"/>
    <mergeCell ref="A53:A59"/>
    <mergeCell ref="A60:A67"/>
    <mergeCell ref="B3:B9"/>
    <mergeCell ref="B16:B17"/>
    <mergeCell ref="B18:B21"/>
    <mergeCell ref="B22:B29"/>
    <mergeCell ref="B31:B40"/>
    <mergeCell ref="B41:B52"/>
    <mergeCell ref="B53:B59"/>
    <mergeCell ref="B60:B67"/>
    <mergeCell ref="D3:D9"/>
    <mergeCell ref="D16:D17"/>
    <mergeCell ref="E3:E9"/>
    <mergeCell ref="E10:E11"/>
    <mergeCell ref="E12:E13"/>
    <mergeCell ref="E14:E15"/>
    <mergeCell ref="E16:E18"/>
    <mergeCell ref="E20:E24"/>
    <mergeCell ref="E25:E30"/>
    <mergeCell ref="E32:E34"/>
    <mergeCell ref="E35:E40"/>
    <mergeCell ref="E41:E43"/>
    <mergeCell ref="E44:E48"/>
    <mergeCell ref="E49:E52"/>
    <mergeCell ref="E53:E59"/>
    <mergeCell ref="E60:E64"/>
    <mergeCell ref="E65:E67"/>
    <mergeCell ref="F3:F9"/>
    <mergeCell ref="F10:F11"/>
    <mergeCell ref="F12:F13"/>
    <mergeCell ref="F14:F15"/>
    <mergeCell ref="F16:F18"/>
    <mergeCell ref="F20:F24"/>
    <mergeCell ref="F25:F30"/>
    <mergeCell ref="F32:F34"/>
    <mergeCell ref="F35:F40"/>
    <mergeCell ref="F41:F43"/>
    <mergeCell ref="F44:F48"/>
    <mergeCell ref="F49:F52"/>
    <mergeCell ref="F53:F59"/>
    <mergeCell ref="F60:F64"/>
    <mergeCell ref="F65:F67"/>
    <mergeCell ref="G3:G9"/>
    <mergeCell ref="G10:G11"/>
    <mergeCell ref="G12:G13"/>
    <mergeCell ref="G14:G15"/>
    <mergeCell ref="G16:G18"/>
    <mergeCell ref="G20:G24"/>
    <mergeCell ref="G25:G30"/>
    <mergeCell ref="G32:G34"/>
    <mergeCell ref="G35:G40"/>
    <mergeCell ref="G41:G43"/>
    <mergeCell ref="G44:G48"/>
    <mergeCell ref="G49:G52"/>
    <mergeCell ref="G53:G59"/>
    <mergeCell ref="G60:G64"/>
    <mergeCell ref="G65:G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F77F0BC448B14880FE41DB3A2CAC4E" ma:contentTypeVersion="14" ma:contentTypeDescription="Create a new document." ma:contentTypeScope="" ma:versionID="3909a4de4b66b929ee5ab7a79397b820">
  <xsd:schema xmlns:xsd="http://www.w3.org/2001/XMLSchema" xmlns:xs="http://www.w3.org/2001/XMLSchema" xmlns:p="http://schemas.microsoft.com/office/2006/metadata/properties" xmlns:ns2="aaab9fc4-3f03-4902-b79a-4559f6f50eed" xmlns:ns3="90efb17b-9594-4bbe-85d1-c3d7db78dfaa" targetNamespace="http://schemas.microsoft.com/office/2006/metadata/properties" ma:root="true" ma:fieldsID="a857acf534ba9791464bddb826892a63" ns2:_="" ns3:_="">
    <xsd:import namespace="aaab9fc4-3f03-4902-b79a-4559f6f50eed"/>
    <xsd:import namespace="90efb17b-9594-4bbe-85d1-c3d7db78df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b9fc4-3f03-4902-b79a-4559f6f50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c554113-5c1c-4c88-a5a0-ba7e0db0880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efb17b-9594-4bbe-85d1-c3d7db78dfa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4d49a1c-672b-4bc9-b667-17c7fe6e9de5}" ma:internalName="TaxCatchAll" ma:showField="CatchAllData" ma:web="90efb17b-9594-4bbe-85d1-c3d7db78df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0efb17b-9594-4bbe-85d1-c3d7db78dfaa" xsi:nil="true"/>
    <lcf76f155ced4ddcb4097134ff3c332f xmlns="aaab9fc4-3f03-4902-b79a-4559f6f50ee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7FEFA-660B-4D4D-8A51-80A5AAABAEE2}">
  <ds:schemaRefs/>
</ds:datastoreItem>
</file>

<file path=customXml/itemProps2.xml><?xml version="1.0" encoding="utf-8"?>
<ds:datastoreItem xmlns:ds="http://schemas.openxmlformats.org/officeDocument/2006/customXml" ds:itemID="{AE9724FD-A3EA-4070-BFA7-EA8142E2ED2B}">
  <ds:schemaRefs/>
</ds:datastoreItem>
</file>

<file path=customXml/itemProps3.xml><?xml version="1.0" encoding="utf-8"?>
<ds:datastoreItem xmlns:ds="http://schemas.openxmlformats.org/officeDocument/2006/customXml" ds:itemID="{58FB4EB8-6821-4FAD-8851-65045922C8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Windows Essentials</vt:lpstr>
      <vt:lpstr>Windows Planner</vt:lpstr>
      <vt:lpstr>Networking</vt:lpstr>
      <vt:lpstr>PowerShell</vt:lpstr>
      <vt:lpstr>Azure</vt:lpstr>
      <vt:lpstr>DevOps</vt:lpstr>
      <vt:lpstr>ITIL</vt:lpstr>
      <vt:lpstr>Virtualization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Hassaan</dc:creator>
  <cp:lastModifiedBy>Abhay Pandurang Gaikwad</cp:lastModifiedBy>
  <dcterms:created xsi:type="dcterms:W3CDTF">2025-06-30T08:59:00Z</dcterms:created>
  <dcterms:modified xsi:type="dcterms:W3CDTF">2025-10-30T09:24:10Z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0x0101009FF77F0BC448B14880FE41DB3A2CAC4E</vt:lpwstr>
  </property>
  <property fmtid="{D5CDD505-2E9C-101B-9397-08002B2CF9AE}" pid="3" name="MediaServiceImageTags">
    <vt:lpwstr/>
  </property>
  <property fmtid="{D5CDD505-2E9C-101B-9397-08002B2CF9AE}" pid="4" name="ICV">
    <vt:lpwstr>6B78E07413184E018A3E81141BC478C5_13</vt:lpwstr>
  </property>
  <property fmtid="{D5CDD505-2E9C-101B-9397-08002B2CF9AE}" pid="5" name="KSOProductBuildVer">
    <vt:lpwstr>1033-12.2.0.21931</vt:lpwstr>
  </property>
</Properties>
</file>